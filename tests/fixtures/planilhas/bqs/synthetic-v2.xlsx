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Vessel" state="visible" r:id="rId5"/>
    <sheet sheetId="3" name="Barge" state="visible" r:id="rId6"/>
    <sheet sheetId="4" name="Sample Report" state="visible" r:id="rId7"/>
    <sheet sheetId="5" name="Time Log" state="visible" r:id="rId8"/>
    <sheet sheetId="6" name="Letter of Protest" state="visible" r:id="rId9"/>
    <sheet sheetId="7" name="VacuoAr" state="visible" r:id="rId10"/>
  </sheets>
  <calcPr calcId="171027"/>
</workbook>
</file>

<file path=xl/sharedStrings.xml><?xml version="1.0" encoding="utf-8"?>
<sst xmlns="http://schemas.openxmlformats.org/spreadsheetml/2006/main" count="223" uniqueCount="126">
  <si>
    <t>TEST company_contact</t>
  </si>
  <si>
    <t>TEST report_reference</t>
  </si>
  <si>
    <t>TEST cover_port</t>
  </si>
  <si>
    <t>TEST terminal</t>
  </si>
  <si>
    <t>TEST COVER VESSEL</t>
  </si>
  <si>
    <t>TEST vessel_flag</t>
  </si>
  <si>
    <t>TEST vessel_register_port</t>
  </si>
  <si>
    <t>TEST vessel_call_sign</t>
  </si>
  <si>
    <t>TEST vessel_imo</t>
  </si>
  <si>
    <t>TEST vessel_type</t>
  </si>
  <si>
    <t>TEST vessel_delivered</t>
  </si>
  <si>
    <t>10/05/2026</t>
  </si>
  <si>
    <t>TEST captain</t>
  </si>
  <si>
    <t>TEST cover_chief_engineer</t>
  </si>
  <si>
    <t>TEST sounding_person</t>
  </si>
  <si>
    <t>TEST client</t>
  </si>
  <si>
    <t>TEST operator</t>
  </si>
  <si>
    <t>TEST cargo</t>
  </si>
  <si>
    <t>TEST discharging_port</t>
  </si>
  <si>
    <t>TEST supplier</t>
  </si>
  <si>
    <t>TEST barge_inspector</t>
  </si>
  <si>
    <t>TEST temperature_fo_storage</t>
  </si>
  <si>
    <t>TEST temperature_do_storage</t>
  </si>
  <si>
    <t>TEST temperature_fo_service_settling</t>
  </si>
  <si>
    <t>TEST temperature_do_service_settling</t>
  </si>
  <si>
    <t>TEST cover_thermometer</t>
  </si>
  <si>
    <t>TEST bunker_reference_temperature</t>
  </si>
  <si>
    <t>TEST specific_gravity</t>
  </si>
  <si>
    <t>VESSEL´S SOUNDING/ULLAGE REPORT</t>
  </si>
  <si>
    <t>TEST OPERATIONS VESSEL</t>
  </si>
  <si>
    <t>TEST fuel_grade</t>
  </si>
  <si>
    <t>TEST survey_location</t>
  </si>
  <si>
    <t>TEST barge_name</t>
  </si>
  <si>
    <t>TEST survey_start_text</t>
  </si>
  <si>
    <t>TEST survey_end_text</t>
  </si>
  <si>
    <t>TEST vessel_open_trim_corrected</t>
  </si>
  <si>
    <t>TEST TANK 20</t>
  </si>
  <si>
    <t>TEST FUEL</t>
  </si>
  <si>
    <t>TEST TANK 21</t>
  </si>
  <si>
    <t>TEST TANK 22</t>
  </si>
  <si>
    <t>TEST TANK 23</t>
  </si>
  <si>
    <t>TEST TANK 24</t>
  </si>
  <si>
    <t>TEST TANK 25</t>
  </si>
  <si>
    <t>TEST TANK 26</t>
  </si>
  <si>
    <t>TEST TANK 27</t>
  </si>
  <si>
    <t>TEST TANK 28</t>
  </si>
  <si>
    <t>TEST TANK 29</t>
  </si>
  <si>
    <t>TEST TANK 30</t>
  </si>
  <si>
    <t>TEST TANK 31</t>
  </si>
  <si>
    <t>TEST TANK 32</t>
  </si>
  <si>
    <t>TEST TANK 33</t>
  </si>
  <si>
    <t>TEST TANK 34</t>
  </si>
  <si>
    <t>TEST TANK 35</t>
  </si>
  <si>
    <t>TEST TANK 36</t>
  </si>
  <si>
    <t>TEST TANK 37</t>
  </si>
  <si>
    <t>TEST TANK 38</t>
  </si>
  <si>
    <t>TEST TANK 39</t>
  </si>
  <si>
    <t>TEST TANK 40</t>
  </si>
  <si>
    <t>TEST TANK 41</t>
  </si>
  <si>
    <t>TEST TANK 42</t>
  </si>
  <si>
    <t>TEST TANK 43</t>
  </si>
  <si>
    <t>TEST TANK 44</t>
  </si>
  <si>
    <t>TEST vessel_close_trim_corrected</t>
  </si>
  <si>
    <t>TEST TANK 53</t>
  </si>
  <si>
    <t>TEST TANK 54</t>
  </si>
  <si>
    <t>TEST TANK 55</t>
  </si>
  <si>
    <t>TEST TANK 56</t>
  </si>
  <si>
    <t>TEST TANK 57</t>
  </si>
  <si>
    <t>TEST TANK 58</t>
  </si>
  <si>
    <t>TEST TANK 59</t>
  </si>
  <si>
    <t>TEST TANK 60</t>
  </si>
  <si>
    <t>TEST TANK 61</t>
  </si>
  <si>
    <t>TEST TANK 62</t>
  </si>
  <si>
    <t>TEST TANK 63</t>
  </si>
  <si>
    <t>TEST TANK 64</t>
  </si>
  <si>
    <t>TEST TANK 65</t>
  </si>
  <si>
    <t>TEST TANK 66</t>
  </si>
  <si>
    <t>TEST TANK 67</t>
  </si>
  <si>
    <t>TEST TANK 68</t>
  </si>
  <si>
    <t>TEST TANK 69</t>
  </si>
  <si>
    <t>TEST TANK 70</t>
  </si>
  <si>
    <t>TEST TANK 71</t>
  </si>
  <si>
    <t>TEST vessel_thermometer</t>
  </si>
  <si>
    <t>TEST line_condition</t>
  </si>
  <si>
    <t>TEST water_detection</t>
  </si>
  <si>
    <t>TEST chief_engineer</t>
  </si>
  <si>
    <t>TEST surveyor</t>
  </si>
  <si>
    <t>TEST barge_open_flowmeter</t>
  </si>
  <si>
    <t>TEST barge_open_trim_corrected</t>
  </si>
  <si>
    <t>TEST barge_close_flowmeter</t>
  </si>
  <si>
    <t>TEST barge_close_trim_corrected</t>
  </si>
  <si>
    <t>TEST barge_flowmeter_type</t>
  </si>
  <si>
    <t>TEST barge_flowmeter_quantity</t>
  </si>
  <si>
    <t>TEST barge_flowmeter_seal</t>
  </si>
  <si>
    <t>TEST barge_thermometer</t>
  </si>
  <si>
    <t>TEST sampling_tanks</t>
  </si>
  <si>
    <t>TEST sampling_method</t>
  </si>
  <si>
    <t>TEST sample_vessel_point</t>
  </si>
  <si>
    <t>TEST sample_barge_point</t>
  </si>
  <si>
    <t>TEST sample_vessel_quantity</t>
  </si>
  <si>
    <t>TEST sample_barge_quantity</t>
  </si>
  <si>
    <t>TEST sample_vessel_chief</t>
  </si>
  <si>
    <t>0001234</t>
  </si>
  <si>
    <t>TEST sample_vessel_supplier</t>
  </si>
  <si>
    <t>TEST sample_barge_supplier</t>
  </si>
  <si>
    <t>TEST sample_vessel_laboratory</t>
  </si>
  <si>
    <t>TEST sample_barge_laboratory</t>
  </si>
  <si>
    <t>TEST sample_vessel_marpol</t>
  </si>
  <si>
    <t>TEST sample_barge_marpol</t>
  </si>
  <si>
    <t>TEST sample_vessel_surveyor</t>
  </si>
  <si>
    <t>TEST sample_barge_surveyor</t>
  </si>
  <si>
    <t>Bunker Barge arrived</t>
  </si>
  <si>
    <t>17:00</t>
  </si>
  <si>
    <t>Surveyor embarked</t>
  </si>
  <si>
    <t>Meeting between Chief Engineer and Surveyor</t>
  </si>
  <si>
    <t>Initial soundings / Ullage - Vessel</t>
  </si>
  <si>
    <t>17:11</t>
  </si>
  <si>
    <t>17:37</t>
  </si>
  <si>
    <t>Initial soundings / Ullage - Barge</t>
  </si>
  <si>
    <t>18:03</t>
  </si>
  <si>
    <t>Bunkering operation</t>
  </si>
  <si>
    <t>Final soundings / Ullage - Barge</t>
  </si>
  <si>
    <t>22:04</t>
  </si>
  <si>
    <t>Final soundings / Ullage - Vessel</t>
  </si>
  <si>
    <t>22:23</t>
  </si>
  <si>
    <t>Surveyor disembarked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</si>
</sst>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49"/>
  <sheetFormatPr defaultRowHeight="15" outlineLevelRow="0" outlineLevelCol="0" x14ac:dyDescent="55"/>
  <sheetData>
    <row r="4" spans="5:5" x14ac:dyDescent="0.25">
      <c r="E4" t="s">
        <v>0</v>
      </c>
    </row>
    <row r="10" spans="3:3" x14ac:dyDescent="0.25">
      <c r="C10" t="s">
        <v>1</v>
      </c>
    </row>
    <row r="11" spans="3:3" x14ac:dyDescent="0.25">
      <c r="C11" t="s">
        <v>2</v>
      </c>
    </row>
    <row r="12" spans="3:3" x14ac:dyDescent="0.25">
      <c r="C12" t="s">
        <v>3</v>
      </c>
    </row>
    <row r="14" spans="3:3" x14ac:dyDescent="0.25">
      <c r="C14" t="s">
        <v>4</v>
      </c>
    </row>
    <row r="15" spans="3:3" x14ac:dyDescent="0.25">
      <c r="C15" t="s">
        <v>5</v>
      </c>
    </row>
    <row r="16" spans="3:3" x14ac:dyDescent="0.25">
      <c r="C16" t="s">
        <v>6</v>
      </c>
    </row>
    <row r="17" spans="3:3" x14ac:dyDescent="0.25">
      <c r="C17" t="s">
        <v>7</v>
      </c>
    </row>
    <row r="18" spans="3:3" x14ac:dyDescent="0.25">
      <c r="C18" t="s">
        <v>8</v>
      </c>
    </row>
    <row r="19" spans="3:3" x14ac:dyDescent="0.25">
      <c r="C19" t="s">
        <v>9</v>
      </c>
    </row>
    <row r="20" spans="3:3" x14ac:dyDescent="0.25">
      <c r="C20" t="s">
        <v>10</v>
      </c>
    </row>
    <row r="21" spans="3:3" x14ac:dyDescent="0.25">
      <c r="C21">
        <v>0</v>
      </c>
    </row>
    <row r="23" spans="3:3" x14ac:dyDescent="0.25">
      <c r="C23" t="s">
        <v>11</v>
      </c>
    </row>
    <row r="25" spans="3:3" x14ac:dyDescent="0.25">
      <c r="C25" t="s">
        <v>12</v>
      </c>
    </row>
    <row r="26" spans="3:3" x14ac:dyDescent="0.25">
      <c r="C26" t="s">
        <v>13</v>
      </c>
    </row>
    <row r="27" spans="3:3" x14ac:dyDescent="0.25">
      <c r="C27" t="s">
        <v>14</v>
      </c>
    </row>
    <row r="28" spans="3:5" x14ac:dyDescent="0.25">
      <c r="C28">
        <f>100</f>
        <v>100</v>
      </c>
      <c r="E28">
        <f>-11.125</f>
        <v>-11.125</v>
      </c>
    </row>
    <row r="30" spans="3:3" x14ac:dyDescent="0.25">
      <c r="C30" t="s">
        <v>15</v>
      </c>
    </row>
    <row r="31" spans="3:3" x14ac:dyDescent="0.25">
      <c r="C31" t="s">
        <v>16</v>
      </c>
    </row>
    <row r="33" spans="3:3" x14ac:dyDescent="0.25">
      <c r="C33" t="s">
        <v>17</v>
      </c>
    </row>
    <row r="34" spans="3:3" x14ac:dyDescent="0.25">
      <c r="C34" t="s">
        <v>18</v>
      </c>
    </row>
    <row r="36" spans="3:3" x14ac:dyDescent="0.25">
      <c r="C36" t="s">
        <v>19</v>
      </c>
    </row>
    <row r="37" spans="3:3" x14ac:dyDescent="0.25">
      <c r="C37" t="s">
        <v>20</v>
      </c>
    </row>
    <row r="40" spans="3:3" x14ac:dyDescent="0.25">
      <c r="C40" t="s">
        <v>21</v>
      </c>
    </row>
    <row r="41" spans="3:3" x14ac:dyDescent="0.25">
      <c r="C41" t="s">
        <v>22</v>
      </c>
    </row>
    <row r="42" spans="3:3" x14ac:dyDescent="0.25">
      <c r="C42" t="s">
        <v>23</v>
      </c>
    </row>
    <row r="43" spans="3:3" x14ac:dyDescent="0.25">
      <c r="C43" t="s">
        <v>24</v>
      </c>
    </row>
    <row r="44" spans="3:3" x14ac:dyDescent="0.25">
      <c r="C44">
        <v>0</v>
      </c>
    </row>
    <row r="45" spans="3:3" x14ac:dyDescent="0.25">
      <c r="C45">
        <v>0</v>
      </c>
    </row>
    <row r="46" spans="3:3" x14ac:dyDescent="0.25">
      <c r="C46" t="s">
        <v>25</v>
      </c>
    </row>
    <row r="48" spans="3:3" x14ac:dyDescent="0.25">
      <c r="C48" t="s">
        <v>26</v>
      </c>
    </row>
    <row r="49" spans="3:3" x14ac:dyDescent="0.25">
      <c r="C4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M93"/>
  <sheetFormatPr defaultRowHeight="15" outlineLevelRow="0" outlineLevelCol="0" x14ac:dyDescent="55"/>
  <sheetData>
    <row r="6" spans="1:1" x14ac:dyDescent="0.25">
      <c r="A6" t="s">
        <v>28</v>
      </c>
    </row>
    <row r="8" spans="3:9" x14ac:dyDescent="0.25">
      <c r="C8" t="s">
        <v>29</v>
      </c>
      <c r="I8" t="s">
        <v>30</v>
      </c>
    </row>
    <row r="9" spans="9:9" x14ac:dyDescent="0.25">
      <c r="I9" t="s">
        <v>31</v>
      </c>
    </row>
    <row r="10" spans="3:9" x14ac:dyDescent="0.25">
      <c r="C10" t="s">
        <v>32</v>
      </c>
      <c r="I10" t="s">
        <v>33</v>
      </c>
    </row>
    <row r="11" spans="9:9" x14ac:dyDescent="0.25">
      <c r="I11" t="s">
        <v>34</v>
      </c>
    </row>
    <row r="17" spans="2:11" x14ac:dyDescent="0.25">
      <c r="B17">
        <v>0</v>
      </c>
      <c r="E17">
        <v>0</v>
      </c>
      <c r="H17">
        <v>0</v>
      </c>
      <c r="K17" t="s">
        <v>35</v>
      </c>
    </row>
    <row r="20" spans="1:13" x14ac:dyDescent="0.25">
      <c r="A20" s="1" t="s">
        <v>36</v>
      </c>
      <c r="B20" s="1" t="s">
        <v>37</v>
      </c>
      <c r="C20" s="1">
        <v>2.125</v>
      </c>
      <c r="D20" s="1">
        <v>3.125</v>
      </c>
      <c r="E20" s="1">
        <v>4.125</v>
      </c>
      <c r="F20" s="1">
        <v>5.125</v>
      </c>
      <c r="G20" s="1">
        <v>6.125</v>
      </c>
      <c r="H20" s="1">
        <v>7.125</v>
      </c>
      <c r="I20" s="1">
        <v>8.125</v>
      </c>
      <c r="J20" s="1">
        <v>9.125</v>
      </c>
      <c r="K20" s="1">
        <v>10.125</v>
      </c>
      <c r="L20" s="1">
        <v>11.125</v>
      </c>
      <c r="M20" s="1">
        <f>0</f>
        <v>0</v>
      </c>
    </row>
    <row r="21" spans="1:13" x14ac:dyDescent="0.25">
      <c r="A21" s="1" t="s">
        <v>38</v>
      </c>
      <c r="B21" s="1" t="s">
        <v>37</v>
      </c>
      <c r="C21" s="1">
        <v>2.125</v>
      </c>
      <c r="D21" s="1">
        <v>3.125</v>
      </c>
      <c r="E21" s="1">
        <v>4.125</v>
      </c>
      <c r="F21" s="1">
        <v>5.125</v>
      </c>
      <c r="G21" s="1">
        <v>6.125</v>
      </c>
      <c r="H21" s="1">
        <v>7.125</v>
      </c>
      <c r="I21" s="1">
        <v>8.125</v>
      </c>
      <c r="J21" s="1">
        <v>9.125</v>
      </c>
      <c r="K21" s="1">
        <v>10.125</v>
      </c>
      <c r="L21" s="1">
        <v>11.125</v>
      </c>
      <c r="M21" s="1">
        <f>0</f>
        <v>0</v>
      </c>
    </row>
    <row r="22" spans="1:13" x14ac:dyDescent="0.25">
      <c r="A22" s="1" t="s">
        <v>39</v>
      </c>
      <c r="B22" s="1" t="s">
        <v>37</v>
      </c>
      <c r="C22" s="1">
        <v>2.125</v>
      </c>
      <c r="D22" s="1">
        <v>3.125</v>
      </c>
      <c r="E22" s="1">
        <v>4.125</v>
      </c>
      <c r="F22" s="1">
        <v>5.125</v>
      </c>
      <c r="G22" s="1">
        <v>6.125</v>
      </c>
      <c r="H22" s="1">
        <v>7.125</v>
      </c>
      <c r="I22" s="1">
        <v>8.125</v>
      </c>
      <c r="J22" s="1">
        <v>9.125</v>
      </c>
      <c r="K22" s="1">
        <v>10.125</v>
      </c>
      <c r="L22" s="1">
        <v>11.125</v>
      </c>
      <c r="M22" s="1">
        <f>0</f>
        <v>0</v>
      </c>
    </row>
    <row r="23" spans="1:13" x14ac:dyDescent="0.25">
      <c r="A23" s="1" t="s">
        <v>40</v>
      </c>
      <c r="B23" s="1" t="s">
        <v>37</v>
      </c>
      <c r="C23" s="1">
        <v>2.125</v>
      </c>
      <c r="D23" s="1">
        <v>3.125</v>
      </c>
      <c r="E23" s="1">
        <v>4.125</v>
      </c>
      <c r="F23" s="1">
        <v>5.125</v>
      </c>
      <c r="G23" s="1">
        <v>6.125</v>
      </c>
      <c r="H23" s="1">
        <v>7.125</v>
      </c>
      <c r="I23" s="1">
        <v>8.125</v>
      </c>
      <c r="J23" s="1">
        <v>9.125</v>
      </c>
      <c r="K23" s="1">
        <v>10.125</v>
      </c>
      <c r="L23" s="1">
        <v>11.125</v>
      </c>
      <c r="M23" s="1">
        <f>0</f>
        <v>0</v>
      </c>
    </row>
    <row r="24" spans="1:13" x14ac:dyDescent="0.25">
      <c r="A24" s="1" t="s">
        <v>41</v>
      </c>
      <c r="B24" s="1" t="s">
        <v>37</v>
      </c>
      <c r="C24" s="1">
        <v>2.125</v>
      </c>
      <c r="D24" s="1">
        <v>3.125</v>
      </c>
      <c r="E24" s="1">
        <v>4.125</v>
      </c>
      <c r="F24" s="1">
        <v>5.125</v>
      </c>
      <c r="G24" s="1">
        <v>6.125</v>
      </c>
      <c r="H24" s="1">
        <v>7.125</v>
      </c>
      <c r="I24" s="1">
        <v>8.125</v>
      </c>
      <c r="J24" s="1">
        <v>9.125</v>
      </c>
      <c r="K24" s="1">
        <v>10.125</v>
      </c>
      <c r="L24" s="1">
        <v>11.125</v>
      </c>
      <c r="M24" s="1">
        <f>0</f>
        <v>0</v>
      </c>
    </row>
    <row r="25" spans="1:13" x14ac:dyDescent="0.25">
      <c r="A25" s="1" t="s">
        <v>42</v>
      </c>
      <c r="B25" s="1" t="s">
        <v>37</v>
      </c>
      <c r="C25" s="1">
        <v>2.125</v>
      </c>
      <c r="D25" s="1">
        <v>3.125</v>
      </c>
      <c r="E25" s="1">
        <v>4.125</v>
      </c>
      <c r="F25" s="1">
        <v>5.125</v>
      </c>
      <c r="G25" s="1">
        <v>6.125</v>
      </c>
      <c r="H25" s="1">
        <v>7.125</v>
      </c>
      <c r="I25" s="1">
        <v>8.125</v>
      </c>
      <c r="J25" s="1">
        <v>9.125</v>
      </c>
      <c r="K25" s="1">
        <v>10.125</v>
      </c>
      <c r="L25" s="1">
        <v>11.125</v>
      </c>
      <c r="M25" s="1">
        <f>0</f>
        <v>0</v>
      </c>
    </row>
    <row r="26" spans="1:13" x14ac:dyDescent="0.25">
      <c r="A26" s="1" t="s">
        <v>43</v>
      </c>
      <c r="B26" s="1" t="s">
        <v>37</v>
      </c>
      <c r="C26" s="1">
        <v>2.125</v>
      </c>
      <c r="D26" s="1">
        <v>3.125</v>
      </c>
      <c r="E26" s="1">
        <v>4.125</v>
      </c>
      <c r="F26" s="1">
        <v>5.125</v>
      </c>
      <c r="G26" s="1">
        <v>6.125</v>
      </c>
      <c r="H26" s="1">
        <v>7.125</v>
      </c>
      <c r="I26" s="1">
        <v>8.125</v>
      </c>
      <c r="J26" s="1">
        <v>9.125</v>
      </c>
      <c r="K26" s="1">
        <v>10.125</v>
      </c>
      <c r="L26" s="1">
        <v>11.125</v>
      </c>
      <c r="M26" s="1">
        <f>0</f>
        <v>0</v>
      </c>
    </row>
    <row r="27" spans="1:13" x14ac:dyDescent="0.25">
      <c r="A27" s="1" t="s">
        <v>44</v>
      </c>
      <c r="B27" s="1" t="s">
        <v>37</v>
      </c>
      <c r="C27" s="1">
        <v>2.125</v>
      </c>
      <c r="D27" s="1">
        <v>3.125</v>
      </c>
      <c r="E27" s="1">
        <v>4.125</v>
      </c>
      <c r="F27" s="1">
        <v>5.125</v>
      </c>
      <c r="G27" s="1">
        <v>6.125</v>
      </c>
      <c r="H27" s="1">
        <v>7.125</v>
      </c>
      <c r="I27" s="1">
        <v>8.125</v>
      </c>
      <c r="J27" s="1">
        <v>9.125</v>
      </c>
      <c r="K27" s="1">
        <v>10.125</v>
      </c>
      <c r="L27" s="1">
        <v>11.125</v>
      </c>
      <c r="M27" s="1">
        <f>0</f>
        <v>0</v>
      </c>
    </row>
    <row r="28" spans="1:13" x14ac:dyDescent="0.25">
      <c r="A28" s="1" t="s">
        <v>45</v>
      </c>
      <c r="B28" s="1" t="s">
        <v>37</v>
      </c>
      <c r="C28" s="1">
        <v>2.125</v>
      </c>
      <c r="D28" s="1">
        <v>3.125</v>
      </c>
      <c r="E28" s="1">
        <v>4.125</v>
      </c>
      <c r="F28" s="1">
        <v>5.125</v>
      </c>
      <c r="G28" s="1">
        <v>6.125</v>
      </c>
      <c r="H28" s="1">
        <v>7.125</v>
      </c>
      <c r="I28" s="1">
        <v>8.125</v>
      </c>
      <c r="J28" s="1">
        <v>9.125</v>
      </c>
      <c r="K28" s="1">
        <v>10.125</v>
      </c>
      <c r="L28" s="1">
        <v>11.125</v>
      </c>
      <c r="M28" s="1">
        <f>0</f>
        <v>0</v>
      </c>
    </row>
    <row r="29" spans="1:13" x14ac:dyDescent="0.25">
      <c r="A29" s="1" t="s">
        <v>46</v>
      </c>
      <c r="B29" s="1" t="s">
        <v>37</v>
      </c>
      <c r="C29" s="1">
        <v>2.125</v>
      </c>
      <c r="D29" s="1">
        <v>3.125</v>
      </c>
      <c r="E29" s="1">
        <v>4.125</v>
      </c>
      <c r="F29" s="1">
        <v>5.125</v>
      </c>
      <c r="G29" s="1">
        <v>6.125</v>
      </c>
      <c r="H29" s="1">
        <v>7.125</v>
      </c>
      <c r="I29" s="1">
        <v>8.125</v>
      </c>
      <c r="J29" s="1">
        <v>9.125</v>
      </c>
      <c r="K29" s="1">
        <v>10.125</v>
      </c>
      <c r="L29" s="1">
        <v>11.125</v>
      </c>
      <c r="M29" s="1">
        <f>0</f>
        <v>0</v>
      </c>
    </row>
    <row r="30" spans="1:13" x14ac:dyDescent="0.25">
      <c r="A30" s="1" t="s">
        <v>47</v>
      </c>
      <c r="B30" s="1" t="s">
        <v>37</v>
      </c>
      <c r="C30" s="1">
        <v>2.125</v>
      </c>
      <c r="D30" s="1">
        <v>3.125</v>
      </c>
      <c r="E30" s="1">
        <v>4.125</v>
      </c>
      <c r="F30" s="1">
        <v>5.125</v>
      </c>
      <c r="G30" s="1">
        <v>6.125</v>
      </c>
      <c r="H30" s="1">
        <v>7.125</v>
      </c>
      <c r="I30" s="1">
        <v>8.125</v>
      </c>
      <c r="J30" s="1">
        <v>9.125</v>
      </c>
      <c r="K30" s="1">
        <v>10.125</v>
      </c>
      <c r="L30" s="1">
        <v>11.125</v>
      </c>
      <c r="M30" s="1">
        <f>0</f>
        <v>0</v>
      </c>
    </row>
    <row r="31" spans="1:13" x14ac:dyDescent="0.25">
      <c r="A31" s="1" t="s">
        <v>48</v>
      </c>
      <c r="B31" s="1" t="s">
        <v>37</v>
      </c>
      <c r="C31" s="1">
        <v>2.125</v>
      </c>
      <c r="D31" s="1">
        <v>3.125</v>
      </c>
      <c r="E31" s="1">
        <v>4.125</v>
      </c>
      <c r="F31" s="1">
        <v>5.125</v>
      </c>
      <c r="G31" s="1">
        <v>6.125</v>
      </c>
      <c r="H31" s="1">
        <v>7.125</v>
      </c>
      <c r="I31" s="1">
        <v>8.125</v>
      </c>
      <c r="J31" s="1">
        <v>9.125</v>
      </c>
      <c r="K31" s="1">
        <v>10.125</v>
      </c>
      <c r="L31" s="1">
        <v>11.125</v>
      </c>
      <c r="M31" s="1">
        <f>0</f>
        <v>0</v>
      </c>
    </row>
    <row r="32" spans="1:13" x14ac:dyDescent="0.25">
      <c r="A32" s="1" t="s">
        <v>49</v>
      </c>
      <c r="B32" s="1" t="s">
        <v>37</v>
      </c>
      <c r="C32" s="1">
        <v>2.125</v>
      </c>
      <c r="D32" s="1">
        <v>3.125</v>
      </c>
      <c r="E32" s="1">
        <v>4.125</v>
      </c>
      <c r="F32" s="1">
        <v>5.125</v>
      </c>
      <c r="G32" s="1">
        <v>6.125</v>
      </c>
      <c r="H32" s="1">
        <v>7.125</v>
      </c>
      <c r="I32" s="1">
        <v>8.125</v>
      </c>
      <c r="J32" s="1">
        <v>9.125</v>
      </c>
      <c r="K32" s="1">
        <v>10.125</v>
      </c>
      <c r="L32" s="1">
        <v>11.125</v>
      </c>
      <c r="M32" s="1">
        <f>0</f>
        <v>0</v>
      </c>
    </row>
    <row r="33" spans="1:13" x14ac:dyDescent="0.25">
      <c r="A33" s="1" t="s">
        <v>50</v>
      </c>
      <c r="B33" s="1" t="s">
        <v>37</v>
      </c>
      <c r="C33" s="1">
        <v>2.125</v>
      </c>
      <c r="D33" s="1">
        <v>3.125</v>
      </c>
      <c r="E33" s="1">
        <v>4.125</v>
      </c>
      <c r="F33" s="1">
        <v>5.125</v>
      </c>
      <c r="G33" s="1">
        <v>6.125</v>
      </c>
      <c r="H33" s="1">
        <v>7.125</v>
      </c>
      <c r="I33" s="1">
        <v>8.125</v>
      </c>
      <c r="J33" s="1">
        <v>9.125</v>
      </c>
      <c r="K33" s="1">
        <v>10.125</v>
      </c>
      <c r="L33" s="1">
        <v>11.125</v>
      </c>
      <c r="M33" s="1">
        <f>0</f>
        <v>0</v>
      </c>
    </row>
    <row r="34" spans="1:13" x14ac:dyDescent="0.25">
      <c r="A34" s="1" t="s">
        <v>51</v>
      </c>
      <c r="B34" s="1" t="s">
        <v>37</v>
      </c>
      <c r="C34" s="1">
        <v>2.125</v>
      </c>
      <c r="D34" s="1">
        <v>3.125</v>
      </c>
      <c r="E34" s="1">
        <v>4.125</v>
      </c>
      <c r="F34" s="1">
        <v>5.125</v>
      </c>
      <c r="G34" s="1">
        <v>6.125</v>
      </c>
      <c r="H34" s="1">
        <v>7.125</v>
      </c>
      <c r="I34" s="1">
        <v>8.125</v>
      </c>
      <c r="J34" s="1">
        <v>9.125</v>
      </c>
      <c r="K34" s="1">
        <v>10.125</v>
      </c>
      <c r="L34" s="1">
        <v>11.125</v>
      </c>
      <c r="M34" s="1">
        <f>0</f>
        <v>0</v>
      </c>
    </row>
    <row r="35" spans="1:13" x14ac:dyDescent="0.25">
      <c r="A35" s="1" t="s">
        <v>52</v>
      </c>
      <c r="B35" s="1" t="s">
        <v>37</v>
      </c>
      <c r="C35" s="1">
        <v>2.125</v>
      </c>
      <c r="D35" s="1">
        <v>3.125</v>
      </c>
      <c r="E35" s="1">
        <v>4.125</v>
      </c>
      <c r="F35" s="1">
        <v>5.125</v>
      </c>
      <c r="G35" s="1">
        <v>6.125</v>
      </c>
      <c r="H35" s="1">
        <v>7.125</v>
      </c>
      <c r="I35" s="1">
        <v>8.125</v>
      </c>
      <c r="J35" s="1">
        <v>9.125</v>
      </c>
      <c r="K35" s="1">
        <v>10.125</v>
      </c>
      <c r="L35" s="1">
        <v>11.125</v>
      </c>
      <c r="M35" s="1">
        <f>0</f>
        <v>0</v>
      </c>
    </row>
    <row r="36" spans="1:13" x14ac:dyDescent="0.25">
      <c r="A36" s="1" t="s">
        <v>53</v>
      </c>
      <c r="B36" s="1" t="s">
        <v>37</v>
      </c>
      <c r="C36" s="1">
        <v>2.125</v>
      </c>
      <c r="D36" s="1">
        <v>3.125</v>
      </c>
      <c r="E36" s="1">
        <v>4.125</v>
      </c>
      <c r="F36" s="1">
        <v>5.125</v>
      </c>
      <c r="G36" s="1">
        <v>6.125</v>
      </c>
      <c r="H36" s="1">
        <v>7.125</v>
      </c>
      <c r="I36" s="1">
        <v>8.125</v>
      </c>
      <c r="J36" s="1">
        <v>9.125</v>
      </c>
      <c r="K36" s="1">
        <v>10.125</v>
      </c>
      <c r="L36" s="1">
        <v>11.125</v>
      </c>
      <c r="M36" s="1">
        <f>0</f>
        <v>0</v>
      </c>
    </row>
    <row r="37" spans="1:13" x14ac:dyDescent="0.25">
      <c r="A37" s="1" t="s">
        <v>54</v>
      </c>
      <c r="B37" s="1" t="s">
        <v>37</v>
      </c>
      <c r="C37" s="1">
        <v>2.125</v>
      </c>
      <c r="D37" s="1">
        <v>3.125</v>
      </c>
      <c r="E37" s="1">
        <v>4.125</v>
      </c>
      <c r="F37" s="1">
        <v>5.125</v>
      </c>
      <c r="G37" s="1">
        <v>6.125</v>
      </c>
      <c r="H37" s="1">
        <v>7.125</v>
      </c>
      <c r="I37" s="1">
        <v>8.125</v>
      </c>
      <c r="J37" s="1">
        <v>9.125</v>
      </c>
      <c r="K37" s="1">
        <v>10.125</v>
      </c>
      <c r="L37" s="1">
        <v>11.125</v>
      </c>
      <c r="M37" s="1">
        <f>0</f>
        <v>0</v>
      </c>
    </row>
    <row r="38" spans="1:13" x14ac:dyDescent="0.25">
      <c r="A38" s="1" t="s">
        <v>55</v>
      </c>
      <c r="B38" s="1" t="s">
        <v>37</v>
      </c>
      <c r="C38" s="1">
        <v>2.125</v>
      </c>
      <c r="D38" s="1">
        <v>3.125</v>
      </c>
      <c r="E38" s="1">
        <v>4.125</v>
      </c>
      <c r="F38" s="1">
        <v>5.125</v>
      </c>
      <c r="G38" s="1">
        <v>6.125</v>
      </c>
      <c r="H38" s="1">
        <v>7.125</v>
      </c>
      <c r="I38" s="1">
        <v>8.125</v>
      </c>
      <c r="J38" s="1">
        <v>9.125</v>
      </c>
      <c r="K38" s="1">
        <v>10.125</v>
      </c>
      <c r="L38" s="1">
        <v>11.125</v>
      </c>
      <c r="M38" s="1">
        <f>0</f>
        <v>0</v>
      </c>
    </row>
    <row r="39" spans="1:13" x14ac:dyDescent="0.25">
      <c r="A39" s="1" t="s">
        <v>56</v>
      </c>
      <c r="B39" s="1" t="s">
        <v>37</v>
      </c>
      <c r="C39" s="1">
        <v>2.125</v>
      </c>
      <c r="D39" s="1">
        <v>3.125</v>
      </c>
      <c r="E39" s="1">
        <v>4.125</v>
      </c>
      <c r="F39" s="1">
        <v>5.125</v>
      </c>
      <c r="G39" s="1">
        <v>6.125</v>
      </c>
      <c r="H39" s="1">
        <v>7.125</v>
      </c>
      <c r="I39" s="1">
        <v>8.125</v>
      </c>
      <c r="J39" s="1">
        <v>9.125</v>
      </c>
      <c r="K39" s="1">
        <v>10.125</v>
      </c>
      <c r="L39" s="1">
        <v>11.125</v>
      </c>
      <c r="M39" s="1">
        <f>0</f>
        <v>0</v>
      </c>
    </row>
    <row r="40" spans="1:13" x14ac:dyDescent="0.25">
      <c r="A40" s="1" t="s">
        <v>57</v>
      </c>
      <c r="B40" s="1" t="s">
        <v>37</v>
      </c>
      <c r="C40" s="1">
        <v>2.125</v>
      </c>
      <c r="D40" s="1">
        <v>3.125</v>
      </c>
      <c r="E40" s="1">
        <v>4.125</v>
      </c>
      <c r="F40" s="1">
        <v>5.125</v>
      </c>
      <c r="G40" s="1">
        <v>6.125</v>
      </c>
      <c r="H40" s="1">
        <v>7.125</v>
      </c>
      <c r="I40" s="1">
        <v>8.125</v>
      </c>
      <c r="J40" s="1">
        <v>9.125</v>
      </c>
      <c r="K40" s="1">
        <v>10.125</v>
      </c>
      <c r="L40" s="1">
        <v>11.125</v>
      </c>
      <c r="M40" s="1">
        <f>0</f>
        <v>0</v>
      </c>
    </row>
    <row r="41" spans="1:13" x14ac:dyDescent="0.25">
      <c r="A41" s="1" t="s">
        <v>58</v>
      </c>
      <c r="B41" s="1" t="s">
        <v>37</v>
      </c>
      <c r="C41" s="1">
        <v>2.125</v>
      </c>
      <c r="D41" s="1">
        <v>3.125</v>
      </c>
      <c r="E41" s="1">
        <v>4.125</v>
      </c>
      <c r="F41" s="1">
        <v>5.125</v>
      </c>
      <c r="G41" s="1">
        <v>6.125</v>
      </c>
      <c r="H41" s="1">
        <v>7.125</v>
      </c>
      <c r="I41" s="1">
        <v>8.125</v>
      </c>
      <c r="J41" s="1">
        <v>9.125</v>
      </c>
      <c r="K41" s="1">
        <v>10.125</v>
      </c>
      <c r="L41" s="1">
        <v>11.125</v>
      </c>
      <c r="M41" s="1">
        <f>0</f>
        <v>0</v>
      </c>
    </row>
    <row r="42" spans="1:13" x14ac:dyDescent="0.25">
      <c r="A42" s="1" t="s">
        <v>59</v>
      </c>
      <c r="B42" s="1" t="s">
        <v>37</v>
      </c>
      <c r="C42" s="1">
        <v>2.125</v>
      </c>
      <c r="D42" s="1">
        <v>3.125</v>
      </c>
      <c r="E42" s="1">
        <v>4.125</v>
      </c>
      <c r="F42" s="1">
        <v>5.125</v>
      </c>
      <c r="G42" s="1">
        <v>6.125</v>
      </c>
      <c r="H42" s="1">
        <v>7.125</v>
      </c>
      <c r="I42" s="1">
        <v>8.125</v>
      </c>
      <c r="J42" s="1">
        <v>9.125</v>
      </c>
      <c r="K42" s="1">
        <v>10.125</v>
      </c>
      <c r="L42" s="1">
        <v>11.125</v>
      </c>
      <c r="M42" s="1">
        <f>0</f>
        <v>0</v>
      </c>
    </row>
    <row r="43" spans="1:13" x14ac:dyDescent="0.25">
      <c r="A43" s="1" t="s">
        <v>60</v>
      </c>
      <c r="B43" s="1" t="s">
        <v>37</v>
      </c>
      <c r="C43" s="1">
        <v>2.125</v>
      </c>
      <c r="D43" s="1">
        <v>3.125</v>
      </c>
      <c r="E43" s="1">
        <v>4.125</v>
      </c>
      <c r="F43" s="1">
        <v>5.125</v>
      </c>
      <c r="G43" s="1">
        <v>6.125</v>
      </c>
      <c r="H43" s="1">
        <v>7.125</v>
      </c>
      <c r="I43" s="1">
        <v>8.125</v>
      </c>
      <c r="J43" s="1">
        <v>9.125</v>
      </c>
      <c r="K43" s="1">
        <v>10.125</v>
      </c>
      <c r="L43" s="1">
        <v>11.125</v>
      </c>
      <c r="M43" s="1">
        <f>0</f>
        <v>0</v>
      </c>
    </row>
    <row r="44" spans="1:13" x14ac:dyDescent="0.25">
      <c r="A44" s="1" t="s">
        <v>61</v>
      </c>
      <c r="B44" s="1" t="s">
        <v>37</v>
      </c>
      <c r="C44" s="1">
        <v>2.125</v>
      </c>
      <c r="D44" s="1">
        <v>3.125</v>
      </c>
      <c r="E44" s="1">
        <v>4.125</v>
      </c>
      <c r="F44" s="1">
        <v>5.125</v>
      </c>
      <c r="G44" s="1">
        <v>6.125</v>
      </c>
      <c r="H44" s="1">
        <v>7.125</v>
      </c>
      <c r="I44" s="1">
        <v>8.125</v>
      </c>
      <c r="J44" s="1">
        <v>9.125</v>
      </c>
      <c r="K44" s="1">
        <v>10.125</v>
      </c>
      <c r="L44" s="1">
        <v>11.125</v>
      </c>
      <c r="M44" s="1">
        <f>0</f>
        <v>0</v>
      </c>
    </row>
    <row r="45" spans="12:13" x14ac:dyDescent="0.25">
      <c r="L45">
        <f>112.25</f>
        <v>112.25</v>
      </c>
      <c r="M45">
        <f>111.125</f>
        <v>111.125</v>
      </c>
    </row>
    <row r="50" spans="2:11" x14ac:dyDescent="0.25">
      <c r="B50">
        <v>0</v>
      </c>
      <c r="E50">
        <v>0</v>
      </c>
      <c r="H50">
        <v>0</v>
      </c>
      <c r="K50" t="s">
        <v>62</v>
      </c>
    </row>
    <row r="53" spans="1:13" x14ac:dyDescent="0.25">
      <c r="A53" s="1" t="s">
        <v>63</v>
      </c>
      <c r="B53" s="1" t="s">
        <v>37</v>
      </c>
      <c r="C53" s="1">
        <v>2.125</v>
      </c>
      <c r="D53" s="1">
        <v>3.125</v>
      </c>
      <c r="E53" s="1">
        <v>4.125</v>
      </c>
      <c r="F53" s="1">
        <v>5.125</v>
      </c>
      <c r="G53" s="1">
        <v>6.125</v>
      </c>
      <c r="H53" s="1">
        <v>7.125</v>
      </c>
      <c r="I53" s="1">
        <v>8.125</v>
      </c>
      <c r="J53" s="1">
        <v>9.125</v>
      </c>
      <c r="K53" s="1">
        <v>10.125</v>
      </c>
      <c r="L53" s="1">
        <v>11.125</v>
      </c>
      <c r="M53" s="1">
        <f>0</f>
        <v>0</v>
      </c>
    </row>
    <row r="54" spans="1:13" x14ac:dyDescent="0.25">
      <c r="A54" s="1" t="s">
        <v>64</v>
      </c>
      <c r="B54" s="1" t="s">
        <v>37</v>
      </c>
      <c r="C54" s="1">
        <v>2.125</v>
      </c>
      <c r="D54" s="1">
        <v>3.125</v>
      </c>
      <c r="E54" s="1">
        <v>4.125</v>
      </c>
      <c r="F54" s="1">
        <v>5.125</v>
      </c>
      <c r="G54" s="1">
        <v>6.125</v>
      </c>
      <c r="H54" s="1">
        <v>7.125</v>
      </c>
      <c r="I54" s="1">
        <v>8.125</v>
      </c>
      <c r="J54" s="1">
        <v>9.125</v>
      </c>
      <c r="K54" s="1">
        <v>10.125</v>
      </c>
      <c r="L54" s="1">
        <v>11.125</v>
      </c>
      <c r="M54" s="1">
        <f>0</f>
        <v>0</v>
      </c>
    </row>
    <row r="55" spans="1:13" x14ac:dyDescent="0.25">
      <c r="A55" s="1" t="s">
        <v>65</v>
      </c>
      <c r="B55" s="1" t="s">
        <v>37</v>
      </c>
      <c r="C55" s="1">
        <v>2.125</v>
      </c>
      <c r="D55" s="1">
        <v>3.125</v>
      </c>
      <c r="E55" s="1">
        <v>4.125</v>
      </c>
      <c r="F55" s="1">
        <v>5.125</v>
      </c>
      <c r="G55" s="1">
        <v>6.125</v>
      </c>
      <c r="H55" s="1">
        <v>7.125</v>
      </c>
      <c r="I55" s="1">
        <v>8.125</v>
      </c>
      <c r="J55" s="1">
        <v>9.125</v>
      </c>
      <c r="K55" s="1">
        <v>10.125</v>
      </c>
      <c r="L55" s="1">
        <v>11.125</v>
      </c>
      <c r="M55" s="1">
        <f>0</f>
        <v>0</v>
      </c>
    </row>
    <row r="56" spans="1:13" x14ac:dyDescent="0.25">
      <c r="A56" s="1" t="s">
        <v>66</v>
      </c>
      <c r="B56" s="1" t="s">
        <v>37</v>
      </c>
      <c r="C56" s="1">
        <v>2.125</v>
      </c>
      <c r="D56" s="1">
        <v>3.125</v>
      </c>
      <c r="E56" s="1">
        <v>4.125</v>
      </c>
      <c r="F56" s="1">
        <v>5.125</v>
      </c>
      <c r="G56" s="1">
        <v>6.125</v>
      </c>
      <c r="H56" s="1">
        <v>7.125</v>
      </c>
      <c r="I56" s="1">
        <v>8.125</v>
      </c>
      <c r="J56" s="1">
        <v>9.125</v>
      </c>
      <c r="K56" s="1">
        <v>10.125</v>
      </c>
      <c r="L56" s="1">
        <v>11.125</v>
      </c>
      <c r="M56" s="1">
        <f>0</f>
        <v>0</v>
      </c>
    </row>
    <row r="57" spans="1:13" x14ac:dyDescent="0.25">
      <c r="A57" s="1" t="s">
        <v>67</v>
      </c>
      <c r="B57" s="1" t="s">
        <v>37</v>
      </c>
      <c r="C57" s="1">
        <v>2.125</v>
      </c>
      <c r="D57" s="1">
        <v>3.125</v>
      </c>
      <c r="E57" s="1">
        <v>4.125</v>
      </c>
      <c r="F57" s="1">
        <v>5.125</v>
      </c>
      <c r="G57" s="1">
        <v>6.125</v>
      </c>
      <c r="H57" s="1">
        <v>7.125</v>
      </c>
      <c r="I57" s="1">
        <v>8.125</v>
      </c>
      <c r="J57" s="1">
        <v>9.125</v>
      </c>
      <c r="K57" s="1">
        <v>10.125</v>
      </c>
      <c r="L57" s="1">
        <v>11.125</v>
      </c>
      <c r="M57" s="1">
        <f>0</f>
        <v>0</v>
      </c>
    </row>
    <row r="58" spans="1:13" x14ac:dyDescent="0.25">
      <c r="A58" s="1" t="s">
        <v>68</v>
      </c>
      <c r="B58" s="1" t="s">
        <v>37</v>
      </c>
      <c r="C58" s="1">
        <v>2.125</v>
      </c>
      <c r="D58" s="1">
        <v>3.125</v>
      </c>
      <c r="E58" s="1">
        <v>4.125</v>
      </c>
      <c r="F58" s="1">
        <v>5.125</v>
      </c>
      <c r="G58" s="1">
        <v>6.125</v>
      </c>
      <c r="H58" s="1">
        <v>7.125</v>
      </c>
      <c r="I58" s="1">
        <v>8.125</v>
      </c>
      <c r="J58" s="1">
        <v>9.125</v>
      </c>
      <c r="K58" s="1">
        <v>10.125</v>
      </c>
      <c r="L58" s="1">
        <v>11.125</v>
      </c>
      <c r="M58" s="1">
        <f>0</f>
        <v>0</v>
      </c>
    </row>
    <row r="59" spans="1:13" x14ac:dyDescent="0.25">
      <c r="A59" s="1" t="s">
        <v>69</v>
      </c>
      <c r="B59" s="1" t="s">
        <v>37</v>
      </c>
      <c r="C59" s="1">
        <v>2.125</v>
      </c>
      <c r="D59" s="1">
        <v>3.125</v>
      </c>
      <c r="E59" s="1">
        <v>4.125</v>
      </c>
      <c r="F59" s="1">
        <v>5.125</v>
      </c>
      <c r="G59" s="1">
        <v>6.125</v>
      </c>
      <c r="H59" s="1">
        <v>7.125</v>
      </c>
      <c r="I59" s="1">
        <v>8.125</v>
      </c>
      <c r="J59" s="1">
        <v>9.125</v>
      </c>
      <c r="K59" s="1">
        <v>10.125</v>
      </c>
      <c r="L59" s="1">
        <v>11.125</v>
      </c>
      <c r="M59" s="1">
        <f>0</f>
        <v>0</v>
      </c>
    </row>
    <row r="60" spans="1:13" x14ac:dyDescent="0.25">
      <c r="A60" s="1" t="s">
        <v>70</v>
      </c>
      <c r="B60" s="1" t="s">
        <v>37</v>
      </c>
      <c r="C60" s="1">
        <v>2.125</v>
      </c>
      <c r="D60" s="1">
        <v>3.125</v>
      </c>
      <c r="E60" s="1">
        <v>4.125</v>
      </c>
      <c r="F60" s="1">
        <v>5.125</v>
      </c>
      <c r="G60" s="1">
        <v>6.125</v>
      </c>
      <c r="H60" s="1">
        <v>7.125</v>
      </c>
      <c r="I60" s="1">
        <v>8.125</v>
      </c>
      <c r="J60" s="1">
        <v>9.125</v>
      </c>
      <c r="K60" s="1">
        <v>10.125</v>
      </c>
      <c r="L60" s="1">
        <v>11.125</v>
      </c>
      <c r="M60" s="1">
        <f>0</f>
        <v>0</v>
      </c>
    </row>
    <row r="61" spans="1:13" x14ac:dyDescent="0.25">
      <c r="A61" s="1" t="s">
        <v>71</v>
      </c>
      <c r="B61" s="1" t="s">
        <v>37</v>
      </c>
      <c r="C61" s="1">
        <v>2.125</v>
      </c>
      <c r="D61" s="1">
        <v>3.125</v>
      </c>
      <c r="E61" s="1">
        <v>4.125</v>
      </c>
      <c r="F61" s="1">
        <v>5.125</v>
      </c>
      <c r="G61" s="1">
        <v>6.125</v>
      </c>
      <c r="H61" s="1">
        <v>7.125</v>
      </c>
      <c r="I61" s="1">
        <v>8.125</v>
      </c>
      <c r="J61" s="1">
        <v>9.125</v>
      </c>
      <c r="K61" s="1">
        <v>10.125</v>
      </c>
      <c r="L61" s="1">
        <v>11.125</v>
      </c>
      <c r="M61" s="1">
        <f>0</f>
        <v>0</v>
      </c>
    </row>
    <row r="62" spans="1:13" x14ac:dyDescent="0.25">
      <c r="A62" s="1" t="s">
        <v>72</v>
      </c>
      <c r="B62" s="1" t="s">
        <v>37</v>
      </c>
      <c r="C62" s="1">
        <v>2.125</v>
      </c>
      <c r="D62" s="1">
        <v>3.125</v>
      </c>
      <c r="E62" s="1">
        <v>4.125</v>
      </c>
      <c r="F62" s="1">
        <v>5.125</v>
      </c>
      <c r="G62" s="1">
        <v>6.125</v>
      </c>
      <c r="H62" s="1">
        <v>7.125</v>
      </c>
      <c r="I62" s="1">
        <v>8.125</v>
      </c>
      <c r="J62" s="1">
        <v>9.125</v>
      </c>
      <c r="K62" s="1">
        <v>10.125</v>
      </c>
      <c r="L62" s="1">
        <v>11.125</v>
      </c>
      <c r="M62" s="1">
        <f>0</f>
        <v>0</v>
      </c>
    </row>
    <row r="63" spans="1:13" x14ac:dyDescent="0.25">
      <c r="A63" s="1" t="s">
        <v>73</v>
      </c>
      <c r="B63" s="1" t="s">
        <v>37</v>
      </c>
      <c r="C63" s="1">
        <v>2.125</v>
      </c>
      <c r="D63" s="1">
        <v>3.125</v>
      </c>
      <c r="E63" s="1">
        <v>4.125</v>
      </c>
      <c r="F63" s="1">
        <v>5.125</v>
      </c>
      <c r="G63" s="1">
        <v>6.125</v>
      </c>
      <c r="H63" s="1">
        <v>7.125</v>
      </c>
      <c r="I63" s="1">
        <v>8.125</v>
      </c>
      <c r="J63" s="1">
        <v>9.125</v>
      </c>
      <c r="K63" s="1">
        <v>10.125</v>
      </c>
      <c r="L63" s="1">
        <v>11.125</v>
      </c>
      <c r="M63" s="1">
        <f>0</f>
        <v>0</v>
      </c>
    </row>
    <row r="64" spans="1:13" x14ac:dyDescent="0.25">
      <c r="A64" s="1" t="s">
        <v>74</v>
      </c>
      <c r="B64" s="1" t="s">
        <v>37</v>
      </c>
      <c r="C64" s="1">
        <v>2.125</v>
      </c>
      <c r="D64" s="1">
        <v>3.125</v>
      </c>
      <c r="E64" s="1">
        <v>4.125</v>
      </c>
      <c r="F64" s="1">
        <v>5.125</v>
      </c>
      <c r="G64" s="1">
        <v>6.125</v>
      </c>
      <c r="H64" s="1">
        <v>7.125</v>
      </c>
      <c r="I64" s="1">
        <v>8.125</v>
      </c>
      <c r="J64" s="1">
        <v>9.125</v>
      </c>
      <c r="K64" s="1">
        <v>10.125</v>
      </c>
      <c r="L64" s="1">
        <v>11.125</v>
      </c>
      <c r="M64" s="1">
        <f>0</f>
        <v>0</v>
      </c>
    </row>
    <row r="65" spans="1:13" x14ac:dyDescent="0.25">
      <c r="A65" s="1" t="s">
        <v>75</v>
      </c>
      <c r="B65" s="1" t="s">
        <v>37</v>
      </c>
      <c r="C65" s="1">
        <v>2.125</v>
      </c>
      <c r="D65" s="1">
        <v>3.125</v>
      </c>
      <c r="E65" s="1">
        <v>4.125</v>
      </c>
      <c r="F65" s="1">
        <v>5.125</v>
      </c>
      <c r="G65" s="1">
        <v>6.125</v>
      </c>
      <c r="H65" s="1">
        <v>7.125</v>
      </c>
      <c r="I65" s="1">
        <v>8.125</v>
      </c>
      <c r="J65" s="1">
        <v>9.125</v>
      </c>
      <c r="K65" s="1">
        <v>10.125</v>
      </c>
      <c r="L65" s="1">
        <v>11.125</v>
      </c>
      <c r="M65" s="1">
        <f>0</f>
        <v>0</v>
      </c>
    </row>
    <row r="66" spans="1:13" x14ac:dyDescent="0.25">
      <c r="A66" s="1" t="s">
        <v>76</v>
      </c>
      <c r="B66" s="1" t="s">
        <v>37</v>
      </c>
      <c r="C66" s="1">
        <v>2.125</v>
      </c>
      <c r="D66" s="1">
        <v>3.125</v>
      </c>
      <c r="E66" s="1">
        <v>4.125</v>
      </c>
      <c r="F66" s="1">
        <v>5.125</v>
      </c>
      <c r="G66" s="1">
        <v>6.125</v>
      </c>
      <c r="H66" s="1">
        <v>7.125</v>
      </c>
      <c r="I66" s="1">
        <v>8.125</v>
      </c>
      <c r="J66" s="1">
        <v>9.125</v>
      </c>
      <c r="K66" s="1">
        <v>10.125</v>
      </c>
      <c r="L66" s="1">
        <v>11.125</v>
      </c>
      <c r="M66" s="1">
        <f>0</f>
        <v>0</v>
      </c>
    </row>
    <row r="67" spans="1:13" x14ac:dyDescent="0.25">
      <c r="A67" s="1" t="s">
        <v>77</v>
      </c>
      <c r="B67" s="1" t="s">
        <v>37</v>
      </c>
      <c r="C67" s="1">
        <v>2.125</v>
      </c>
      <c r="D67" s="1">
        <v>3.125</v>
      </c>
      <c r="E67" s="1">
        <v>4.125</v>
      </c>
      <c r="F67" s="1">
        <v>5.125</v>
      </c>
      <c r="G67" s="1">
        <v>6.125</v>
      </c>
      <c r="H67" s="1">
        <v>7.125</v>
      </c>
      <c r="I67" s="1">
        <v>8.125</v>
      </c>
      <c r="J67" s="1">
        <v>9.125</v>
      </c>
      <c r="K67" s="1">
        <v>10.125</v>
      </c>
      <c r="L67" s="1">
        <v>11.125</v>
      </c>
      <c r="M67" s="1">
        <f>0</f>
        <v>0</v>
      </c>
    </row>
    <row r="68" spans="1:13" x14ac:dyDescent="0.25">
      <c r="A68" s="1" t="s">
        <v>78</v>
      </c>
      <c r="B68" s="1" t="s">
        <v>37</v>
      </c>
      <c r="C68" s="1">
        <v>2.125</v>
      </c>
      <c r="D68" s="1">
        <v>3.125</v>
      </c>
      <c r="E68" s="1">
        <v>4.125</v>
      </c>
      <c r="F68" s="1">
        <v>5.125</v>
      </c>
      <c r="G68" s="1">
        <v>6.125</v>
      </c>
      <c r="H68" s="1">
        <v>7.125</v>
      </c>
      <c r="I68" s="1">
        <v>8.125</v>
      </c>
      <c r="J68" s="1">
        <v>9.125</v>
      </c>
      <c r="K68" s="1">
        <v>10.125</v>
      </c>
      <c r="L68" s="1">
        <v>11.125</v>
      </c>
      <c r="M68" s="1">
        <f>0</f>
        <v>0</v>
      </c>
    </row>
    <row r="69" spans="1:13" x14ac:dyDescent="0.25">
      <c r="A69" s="1" t="s">
        <v>79</v>
      </c>
      <c r="B69" s="1" t="s">
        <v>37</v>
      </c>
      <c r="C69" s="1">
        <v>2.125</v>
      </c>
      <c r="D69" s="1">
        <v>3.125</v>
      </c>
      <c r="E69" s="1">
        <v>4.125</v>
      </c>
      <c r="F69" s="1">
        <v>5.125</v>
      </c>
      <c r="G69" s="1">
        <v>6.125</v>
      </c>
      <c r="H69" s="1">
        <v>7.125</v>
      </c>
      <c r="I69" s="1">
        <v>8.125</v>
      </c>
      <c r="J69" s="1">
        <v>9.125</v>
      </c>
      <c r="K69" s="1">
        <v>10.125</v>
      </c>
      <c r="L69" s="1">
        <v>11.125</v>
      </c>
      <c r="M69" s="1">
        <f>0</f>
        <v>0</v>
      </c>
    </row>
    <row r="70" spans="1:13" x14ac:dyDescent="0.25">
      <c r="A70" s="1" t="s">
        <v>80</v>
      </c>
      <c r="B70" s="1" t="s">
        <v>37</v>
      </c>
      <c r="C70" s="1">
        <v>2.125</v>
      </c>
      <c r="D70" s="1">
        <v>3.125</v>
      </c>
      <c r="E70" s="1">
        <v>4.125</v>
      </c>
      <c r="F70" s="1">
        <v>5.125</v>
      </c>
      <c r="G70" s="1">
        <v>6.125</v>
      </c>
      <c r="H70" s="1">
        <v>7.125</v>
      </c>
      <c r="I70" s="1">
        <v>8.125</v>
      </c>
      <c r="J70" s="1">
        <v>9.125</v>
      </c>
      <c r="K70" s="1">
        <v>10.125</v>
      </c>
      <c r="L70" s="1">
        <v>11.125</v>
      </c>
      <c r="M70" s="1">
        <f>0</f>
        <v>0</v>
      </c>
    </row>
    <row r="71" spans="1:13" x14ac:dyDescent="0.25">
      <c r="A71" s="1" t="s">
        <v>81</v>
      </c>
      <c r="B71" s="1" t="s">
        <v>37</v>
      </c>
      <c r="C71" s="1">
        <v>2.125</v>
      </c>
      <c r="D71" s="1">
        <v>3.125</v>
      </c>
      <c r="E71" s="1">
        <v>4.125</v>
      </c>
      <c r="F71" s="1">
        <v>5.125</v>
      </c>
      <c r="G71" s="1">
        <v>6.125</v>
      </c>
      <c r="H71" s="1">
        <v>7.125</v>
      </c>
      <c r="I71" s="1">
        <v>8.125</v>
      </c>
      <c r="J71" s="1">
        <v>9.125</v>
      </c>
      <c r="K71" s="1">
        <v>10.125</v>
      </c>
      <c r="L71" s="1">
        <v>11.125</v>
      </c>
      <c r="M71" s="1">
        <f>0</f>
        <v>0</v>
      </c>
    </row>
    <row r="72" spans="12:13" x14ac:dyDescent="0.25">
      <c r="L72">
        <f>446.5</f>
        <v>446.5</v>
      </c>
      <c r="M72">
        <f>444.875</f>
        <v>444.875</v>
      </c>
    </row>
    <row r="76" spans="3:3" x14ac:dyDescent="0.25">
      <c r="C76" t="s">
        <v>82</v>
      </c>
    </row>
    <row r="77" spans="3:12" x14ac:dyDescent="0.25">
      <c r="C77" t="s">
        <v>83</v>
      </c>
      <c r="L77">
        <f>335.25</f>
        <v>335.25</v>
      </c>
    </row>
    <row r="78" spans="12:12" x14ac:dyDescent="0.25">
      <c r="L78">
        <f>333.75</f>
        <v>333.75</v>
      </c>
    </row>
    <row r="79" spans="3:12" x14ac:dyDescent="0.25">
      <c r="C79" t="s">
        <v>84</v>
      </c>
      <c r="L79">
        <f>-1.5</f>
        <v>-1.5</v>
      </c>
    </row>
    <row r="80" spans="12:12" x14ac:dyDescent="0.25">
      <c r="L80">
        <f>-0.44943820224719105</f>
        <v>-0.44943820224719105</v>
      </c>
    </row>
    <row r="93" spans="4:11" x14ac:dyDescent="0.25">
      <c r="D93" t="s">
        <v>85</v>
      </c>
      <c r="K9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6:N54"/>
  <sheetFormatPr defaultRowHeight="15" outlineLevelRow="0" outlineLevelCol="0" x14ac:dyDescent="55"/>
  <sheetData>
    <row r="16" spans="11:11" x14ac:dyDescent="0.25">
      <c r="K16" t="s">
        <v>87</v>
      </c>
    </row>
    <row r="17" spans="3:12" x14ac:dyDescent="0.25">
      <c r="C17">
        <v>0</v>
      </c>
      <c r="F17">
        <v>0</v>
      </c>
      <c r="I17">
        <v>0</v>
      </c>
      <c r="L17" t="s">
        <v>88</v>
      </c>
    </row>
    <row r="20" spans="2:14" x14ac:dyDescent="0.25">
      <c r="B20" s="1" t="s">
        <v>36</v>
      </c>
      <c r="C20" s="1" t="s">
        <v>37</v>
      </c>
      <c r="D20" s="1">
        <v>2.125</v>
      </c>
      <c r="E20" s="1">
        <v>3.125</v>
      </c>
      <c r="F20" s="1">
        <v>4.125</v>
      </c>
      <c r="G20" s="1">
        <v>5.125</v>
      </c>
      <c r="H20" s="1">
        <v>6.125</v>
      </c>
      <c r="I20" s="1">
        <v>7.125</v>
      </c>
      <c r="J20" s="1">
        <v>8.125</v>
      </c>
      <c r="K20" s="1">
        <v>9.125</v>
      </c>
      <c r="L20" s="1">
        <v>10.125</v>
      </c>
      <c r="M20" s="1">
        <v>11.125</v>
      </c>
      <c r="N20" s="1">
        <f>0</f>
        <v>0</v>
      </c>
    </row>
    <row r="21" spans="2:14" x14ac:dyDescent="0.25">
      <c r="B21" s="1" t="s">
        <v>38</v>
      </c>
      <c r="C21" s="1" t="s">
        <v>37</v>
      </c>
      <c r="D21" s="1">
        <v>2.125</v>
      </c>
      <c r="E21" s="1">
        <v>3.125</v>
      </c>
      <c r="F21" s="1">
        <v>4.125</v>
      </c>
      <c r="G21" s="1">
        <v>5.125</v>
      </c>
      <c r="H21" s="1">
        <v>6.125</v>
      </c>
      <c r="I21" s="1">
        <v>7.125</v>
      </c>
      <c r="J21" s="1">
        <v>8.125</v>
      </c>
      <c r="K21" s="1">
        <v>9.125</v>
      </c>
      <c r="L21" s="1">
        <v>10.125</v>
      </c>
      <c r="M21" s="1">
        <v>11.125</v>
      </c>
      <c r="N21" s="1">
        <f>0</f>
        <v>0</v>
      </c>
    </row>
    <row r="22" spans="2:14" x14ac:dyDescent="0.25">
      <c r="B22" s="1" t="s">
        <v>39</v>
      </c>
      <c r="C22" s="1" t="s">
        <v>37</v>
      </c>
      <c r="D22" s="1">
        <v>2.125</v>
      </c>
      <c r="E22" s="1">
        <v>3.125</v>
      </c>
      <c r="F22" s="1">
        <v>4.125</v>
      </c>
      <c r="G22" s="1">
        <v>5.125</v>
      </c>
      <c r="H22" s="1">
        <v>6.125</v>
      </c>
      <c r="I22" s="1">
        <v>7.125</v>
      </c>
      <c r="J22" s="1">
        <v>8.125</v>
      </c>
      <c r="K22" s="1">
        <v>9.125</v>
      </c>
      <c r="L22" s="1">
        <v>10.125</v>
      </c>
      <c r="M22" s="1">
        <v>11.125</v>
      </c>
      <c r="N22" s="1">
        <f>0</f>
        <v>0</v>
      </c>
    </row>
    <row r="23" spans="2:14" x14ac:dyDescent="0.25">
      <c r="B23" s="1" t="s">
        <v>40</v>
      </c>
      <c r="C23" s="1" t="s">
        <v>37</v>
      </c>
      <c r="D23" s="1">
        <v>2.125</v>
      </c>
      <c r="E23" s="1">
        <v>3.125</v>
      </c>
      <c r="F23" s="1">
        <v>4.125</v>
      </c>
      <c r="G23" s="1">
        <v>5.125</v>
      </c>
      <c r="H23" s="1">
        <v>6.125</v>
      </c>
      <c r="I23" s="1">
        <v>7.125</v>
      </c>
      <c r="J23" s="1">
        <v>8.125</v>
      </c>
      <c r="K23" s="1">
        <v>9.125</v>
      </c>
      <c r="L23" s="1">
        <v>10.125</v>
      </c>
      <c r="M23" s="1">
        <v>11.125</v>
      </c>
      <c r="N23" s="1">
        <f>0</f>
        <v>0</v>
      </c>
    </row>
    <row r="24" spans="2:14" x14ac:dyDescent="0.25">
      <c r="B24" s="1" t="s">
        <v>41</v>
      </c>
      <c r="C24" s="1" t="s">
        <v>37</v>
      </c>
      <c r="D24" s="1">
        <v>2.125</v>
      </c>
      <c r="E24" s="1">
        <v>3.125</v>
      </c>
      <c r="F24" s="1">
        <v>4.125</v>
      </c>
      <c r="G24" s="1">
        <v>5.125</v>
      </c>
      <c r="H24" s="1">
        <v>6.125</v>
      </c>
      <c r="I24" s="1">
        <v>7.125</v>
      </c>
      <c r="J24" s="1">
        <v>8.125</v>
      </c>
      <c r="K24" s="1">
        <v>9.125</v>
      </c>
      <c r="L24" s="1">
        <v>10.125</v>
      </c>
      <c r="M24" s="1">
        <v>11.125</v>
      </c>
      <c r="N24" s="1">
        <f>0</f>
        <v>0</v>
      </c>
    </row>
    <row r="25" spans="2:14" x14ac:dyDescent="0.25">
      <c r="B25" s="1" t="s">
        <v>42</v>
      </c>
      <c r="C25" s="1" t="s">
        <v>37</v>
      </c>
      <c r="D25" s="1">
        <v>2.125</v>
      </c>
      <c r="E25" s="1">
        <v>3.125</v>
      </c>
      <c r="F25" s="1">
        <v>4.125</v>
      </c>
      <c r="G25" s="1">
        <v>5.125</v>
      </c>
      <c r="H25" s="1">
        <v>6.125</v>
      </c>
      <c r="I25" s="1">
        <v>7.125</v>
      </c>
      <c r="J25" s="1">
        <v>8.125</v>
      </c>
      <c r="K25" s="1">
        <v>9.125</v>
      </c>
      <c r="L25" s="1">
        <v>10.125</v>
      </c>
      <c r="M25" s="1">
        <v>11.125</v>
      </c>
      <c r="N25" s="1">
        <f>0</f>
        <v>0</v>
      </c>
    </row>
    <row r="26" spans="2:14" x14ac:dyDescent="0.25">
      <c r="B26" s="1" t="s">
        <v>43</v>
      </c>
      <c r="C26" s="1" t="s">
        <v>37</v>
      </c>
      <c r="D26" s="1">
        <v>2.125</v>
      </c>
      <c r="E26" s="1">
        <v>3.125</v>
      </c>
      <c r="F26" s="1">
        <v>4.125</v>
      </c>
      <c r="G26" s="1">
        <v>5.125</v>
      </c>
      <c r="H26" s="1">
        <v>6.125</v>
      </c>
      <c r="I26" s="1">
        <v>7.125</v>
      </c>
      <c r="J26" s="1">
        <v>8.125</v>
      </c>
      <c r="K26" s="1">
        <v>9.125</v>
      </c>
      <c r="L26" s="1">
        <v>10.125</v>
      </c>
      <c r="M26" s="1">
        <v>11.125</v>
      </c>
      <c r="N26" s="1">
        <f>0</f>
        <v>0</v>
      </c>
    </row>
    <row r="27" spans="2:14" x14ac:dyDescent="0.25">
      <c r="B27" s="1" t="s">
        <v>44</v>
      </c>
      <c r="C27" s="1" t="s">
        <v>37</v>
      </c>
      <c r="D27" s="1">
        <v>2.125</v>
      </c>
      <c r="E27" s="1">
        <v>3.125</v>
      </c>
      <c r="F27" s="1">
        <v>4.125</v>
      </c>
      <c r="G27" s="1">
        <v>5.125</v>
      </c>
      <c r="H27" s="1">
        <v>6.125</v>
      </c>
      <c r="I27" s="1">
        <v>7.125</v>
      </c>
      <c r="J27" s="1">
        <v>8.125</v>
      </c>
      <c r="K27" s="1">
        <v>9.125</v>
      </c>
      <c r="L27" s="1">
        <v>10.125</v>
      </c>
      <c r="M27" s="1">
        <v>11.125</v>
      </c>
      <c r="N27" s="1">
        <f>0</f>
        <v>0</v>
      </c>
    </row>
    <row r="28" spans="13:14" x14ac:dyDescent="0.25">
      <c r="M28">
        <f>902.5</f>
        <v>902.5</v>
      </c>
      <c r="N28">
        <f>900.75</f>
        <v>900.75</v>
      </c>
    </row>
    <row r="31" spans="11:11" x14ac:dyDescent="0.25">
      <c r="K31" t="s">
        <v>89</v>
      </c>
    </row>
    <row r="32" spans="3:12" x14ac:dyDescent="0.25">
      <c r="C32">
        <v>0</v>
      </c>
      <c r="F32">
        <v>0</v>
      </c>
      <c r="I32">
        <v>0</v>
      </c>
      <c r="L32" t="s">
        <v>90</v>
      </c>
    </row>
    <row r="35" spans="2:14" x14ac:dyDescent="0.25">
      <c r="B35" s="1" t="s">
        <v>52</v>
      </c>
      <c r="C35" s="1" t="s">
        <v>37</v>
      </c>
      <c r="D35" s="1">
        <v>2.125</v>
      </c>
      <c r="E35" s="1">
        <v>3.125</v>
      </c>
      <c r="F35" s="1">
        <v>4.125</v>
      </c>
      <c r="G35" s="1">
        <v>5.125</v>
      </c>
      <c r="H35" s="1">
        <v>6.125</v>
      </c>
      <c r="I35" s="1">
        <v>7.125</v>
      </c>
      <c r="J35" s="1">
        <v>8.125</v>
      </c>
      <c r="K35" s="1">
        <v>9.125</v>
      </c>
      <c r="L35" s="1">
        <v>10.125</v>
      </c>
      <c r="M35" s="1">
        <v>11.125</v>
      </c>
      <c r="N35" s="1">
        <f>0</f>
        <v>0</v>
      </c>
    </row>
    <row r="36" spans="2:14" x14ac:dyDescent="0.25">
      <c r="B36" s="1" t="s">
        <v>53</v>
      </c>
      <c r="C36" s="1" t="s">
        <v>37</v>
      </c>
      <c r="D36" s="1">
        <v>2.125</v>
      </c>
      <c r="E36" s="1">
        <v>3.125</v>
      </c>
      <c r="F36" s="1">
        <v>4.125</v>
      </c>
      <c r="G36" s="1">
        <v>5.125</v>
      </c>
      <c r="H36" s="1">
        <v>6.125</v>
      </c>
      <c r="I36" s="1">
        <v>7.125</v>
      </c>
      <c r="J36" s="1">
        <v>8.125</v>
      </c>
      <c r="K36" s="1">
        <v>9.125</v>
      </c>
      <c r="L36" s="1">
        <v>10.125</v>
      </c>
      <c r="M36" s="1">
        <v>11.125</v>
      </c>
      <c r="N36" s="1">
        <f>0</f>
        <v>0</v>
      </c>
    </row>
    <row r="37" spans="2:14" x14ac:dyDescent="0.25">
      <c r="B37" s="1" t="s">
        <v>54</v>
      </c>
      <c r="C37" s="1" t="s">
        <v>37</v>
      </c>
      <c r="D37" s="1">
        <v>2.125</v>
      </c>
      <c r="E37" s="1">
        <v>3.125</v>
      </c>
      <c r="F37" s="1">
        <v>4.125</v>
      </c>
      <c r="G37" s="1">
        <v>5.125</v>
      </c>
      <c r="H37" s="1">
        <v>6.125</v>
      </c>
      <c r="I37" s="1">
        <v>7.125</v>
      </c>
      <c r="J37" s="1">
        <v>8.125</v>
      </c>
      <c r="K37" s="1">
        <v>9.125</v>
      </c>
      <c r="L37" s="1">
        <v>10.125</v>
      </c>
      <c r="M37" s="1">
        <v>11.125</v>
      </c>
      <c r="N37" s="1">
        <f>0</f>
        <v>0</v>
      </c>
    </row>
    <row r="38" spans="2:14" x14ac:dyDescent="0.25">
      <c r="B38" s="1" t="s">
        <v>55</v>
      </c>
      <c r="C38" s="1" t="s">
        <v>37</v>
      </c>
      <c r="D38" s="1">
        <v>2.125</v>
      </c>
      <c r="E38" s="1">
        <v>3.125</v>
      </c>
      <c r="F38" s="1">
        <v>4.125</v>
      </c>
      <c r="G38" s="1">
        <v>5.125</v>
      </c>
      <c r="H38" s="1">
        <v>6.125</v>
      </c>
      <c r="I38" s="1">
        <v>7.125</v>
      </c>
      <c r="J38" s="1">
        <v>8.125</v>
      </c>
      <c r="K38" s="1">
        <v>9.125</v>
      </c>
      <c r="L38" s="1">
        <v>10.125</v>
      </c>
      <c r="M38" s="1">
        <v>11.125</v>
      </c>
      <c r="N38" s="1">
        <f>0</f>
        <v>0</v>
      </c>
    </row>
    <row r="39" spans="2:14" x14ac:dyDescent="0.25">
      <c r="B39" s="1" t="s">
        <v>56</v>
      </c>
      <c r="C39" s="1" t="s">
        <v>37</v>
      </c>
      <c r="D39" s="1">
        <v>2.125</v>
      </c>
      <c r="E39" s="1">
        <v>3.125</v>
      </c>
      <c r="F39" s="1">
        <v>4.125</v>
      </c>
      <c r="G39" s="1">
        <v>5.125</v>
      </c>
      <c r="H39" s="1">
        <v>6.125</v>
      </c>
      <c r="I39" s="1">
        <v>7.125</v>
      </c>
      <c r="J39" s="1">
        <v>8.125</v>
      </c>
      <c r="K39" s="1">
        <v>9.125</v>
      </c>
      <c r="L39" s="1">
        <v>10.125</v>
      </c>
      <c r="M39" s="1">
        <v>11.125</v>
      </c>
      <c r="N39" s="1">
        <f>0</f>
        <v>0</v>
      </c>
    </row>
    <row r="40" spans="2:14" x14ac:dyDescent="0.25">
      <c r="B40" s="1" t="s">
        <v>57</v>
      </c>
      <c r="C40" s="1" t="s">
        <v>37</v>
      </c>
      <c r="D40" s="1">
        <v>2.125</v>
      </c>
      <c r="E40" s="1">
        <v>3.125</v>
      </c>
      <c r="F40" s="1">
        <v>4.125</v>
      </c>
      <c r="G40" s="1">
        <v>5.125</v>
      </c>
      <c r="H40" s="1">
        <v>6.125</v>
      </c>
      <c r="I40" s="1">
        <v>7.125</v>
      </c>
      <c r="J40" s="1">
        <v>8.125</v>
      </c>
      <c r="K40" s="1">
        <v>9.125</v>
      </c>
      <c r="L40" s="1">
        <v>10.125</v>
      </c>
      <c r="M40" s="1">
        <v>11.125</v>
      </c>
      <c r="N40" s="1">
        <f>0</f>
        <v>0</v>
      </c>
    </row>
    <row r="41" spans="2:14" x14ac:dyDescent="0.25">
      <c r="B41" s="1" t="s">
        <v>58</v>
      </c>
      <c r="C41" s="1" t="s">
        <v>37</v>
      </c>
      <c r="D41" s="1">
        <v>2.125</v>
      </c>
      <c r="E41" s="1">
        <v>3.125</v>
      </c>
      <c r="F41" s="1">
        <v>4.125</v>
      </c>
      <c r="G41" s="1">
        <v>5.125</v>
      </c>
      <c r="H41" s="1">
        <v>6.125</v>
      </c>
      <c r="I41" s="1">
        <v>7.125</v>
      </c>
      <c r="J41" s="1">
        <v>8.125</v>
      </c>
      <c r="K41" s="1">
        <v>9.125</v>
      </c>
      <c r="L41" s="1">
        <v>10.125</v>
      </c>
      <c r="M41" s="1">
        <v>11.125</v>
      </c>
      <c r="N41" s="1">
        <f>0</f>
        <v>0</v>
      </c>
    </row>
    <row r="42" spans="2:14" x14ac:dyDescent="0.25">
      <c r="B42" s="1" t="s">
        <v>59</v>
      </c>
      <c r="C42" s="1" t="s">
        <v>37</v>
      </c>
      <c r="D42" s="1">
        <v>2.125</v>
      </c>
      <c r="E42" s="1">
        <v>3.125</v>
      </c>
      <c r="F42" s="1">
        <v>4.125</v>
      </c>
      <c r="G42" s="1">
        <v>5.125</v>
      </c>
      <c r="H42" s="1">
        <v>6.125</v>
      </c>
      <c r="I42" s="1">
        <v>7.125</v>
      </c>
      <c r="J42" s="1">
        <v>8.125</v>
      </c>
      <c r="K42" s="1">
        <v>9.125</v>
      </c>
      <c r="L42" s="1">
        <v>10.125</v>
      </c>
      <c r="M42" s="1">
        <v>11.125</v>
      </c>
      <c r="N42" s="1">
        <f>0</f>
        <v>0</v>
      </c>
    </row>
    <row r="43" spans="13:14" x14ac:dyDescent="0.25">
      <c r="M43">
        <f>580</f>
        <v>580</v>
      </c>
      <c r="N43">
        <f>578.25</f>
        <v>578.25</v>
      </c>
    </row>
    <row r="45" spans="13:13" x14ac:dyDescent="0.25">
      <c r="M45">
        <f>325</f>
        <v>325</v>
      </c>
    </row>
    <row r="46" spans="13:13" x14ac:dyDescent="0.25">
      <c r="M46">
        <f>322.5</f>
        <v>322.5</v>
      </c>
    </row>
    <row r="47" spans="2:13" x14ac:dyDescent="0.25">
      <c r="B47">
        <v>0</v>
      </c>
      <c r="E47">
        <v>0</v>
      </c>
      <c r="M47">
        <f>-2.5</f>
        <v>-2.5</v>
      </c>
    </row>
    <row r="50" spans="4:13" x14ac:dyDescent="0.25">
      <c r="D50" t="s">
        <v>91</v>
      </c>
      <c r="M50" t="s">
        <v>92</v>
      </c>
    </row>
    <row r="51" spans="4:4" x14ac:dyDescent="0.25">
      <c r="D51" t="s">
        <v>11</v>
      </c>
    </row>
    <row r="52" spans="4:4" x14ac:dyDescent="0.25">
      <c r="D52" t="s">
        <v>93</v>
      </c>
    </row>
    <row r="54" spans="4:4" x14ac:dyDescent="0.25">
      <c r="D54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1:F30"/>
  <sheetFormatPr defaultRowHeight="15" outlineLevelRow="0" outlineLevelCol="0" x14ac:dyDescent="55"/>
  <sheetData>
    <row r="21" spans="4:4" x14ac:dyDescent="0.25">
      <c r="D21" t="s">
        <v>95</v>
      </c>
    </row>
    <row r="22" spans="4:4" x14ac:dyDescent="0.25">
      <c r="D22" t="s">
        <v>96</v>
      </c>
    </row>
    <row r="23" spans="4:6" x14ac:dyDescent="0.25">
      <c r="D23" t="s">
        <v>97</v>
      </c>
      <c r="F23" t="s">
        <v>98</v>
      </c>
    </row>
    <row r="24" spans="4:6" x14ac:dyDescent="0.25">
      <c r="D24" t="s">
        <v>99</v>
      </c>
      <c r="F24" t="s">
        <v>100</v>
      </c>
    </row>
    <row r="26" spans="4:6" x14ac:dyDescent="0.25">
      <c r="D26" t="s">
        <v>101</v>
      </c>
      <c r="F26" t="s">
        <v>102</v>
      </c>
    </row>
    <row r="27" spans="4:6" x14ac:dyDescent="0.25">
      <c r="D27" t="s">
        <v>103</v>
      </c>
      <c r="F27" t="s">
        <v>104</v>
      </c>
    </row>
    <row r="28" spans="4:6" x14ac:dyDescent="0.25">
      <c r="D28" t="s">
        <v>105</v>
      </c>
      <c r="F28" t="s">
        <v>106</v>
      </c>
    </row>
    <row r="29" spans="4:6" x14ac:dyDescent="0.25">
      <c r="D29" t="s">
        <v>107</v>
      </c>
      <c r="F29" t="s">
        <v>108</v>
      </c>
    </row>
    <row r="30" spans="4:6" x14ac:dyDescent="0.25">
      <c r="D30" t="s">
        <v>109</v>
      </c>
      <c r="F30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9:F32"/>
  <sheetFormatPr defaultRowHeight="15" outlineLevelRow="0" outlineLevelCol="0" x14ac:dyDescent="55"/>
  <sheetData>
    <row r="19" spans="1:6" x14ac:dyDescent="0.25">
      <c r="A19" t="s">
        <v>111</v>
      </c>
      <c r="D19" t="s">
        <v>11</v>
      </c>
      <c r="E19" t="s">
        <v>112</v>
      </c>
      <c r="F19" t="s">
        <v>112</v>
      </c>
    </row>
    <row r="20" spans="1:6" x14ac:dyDescent="0.25">
      <c r="A20" t="s">
        <v>113</v>
      </c>
      <c r="D20" t="s">
        <v>11</v>
      </c>
      <c r="E20" t="s">
        <v>112</v>
      </c>
      <c r="F20" t="s">
        <v>112</v>
      </c>
    </row>
    <row r="21" spans="1:6" x14ac:dyDescent="0.25">
      <c r="A21" t="s">
        <v>114</v>
      </c>
      <c r="D21" t="s">
        <v>11</v>
      </c>
      <c r="E21" t="s">
        <v>112</v>
      </c>
      <c r="F21" t="s">
        <v>112</v>
      </c>
    </row>
    <row r="22" spans="1:6" x14ac:dyDescent="0.25">
      <c r="A22" t="s">
        <v>115</v>
      </c>
      <c r="D22" t="s">
        <v>11</v>
      </c>
      <c r="E22" t="s">
        <v>116</v>
      </c>
      <c r="F22" t="s">
        <v>117</v>
      </c>
    </row>
    <row r="24" spans="1:6" x14ac:dyDescent="0.25">
      <c r="A24" t="s">
        <v>118</v>
      </c>
      <c r="D24" t="s">
        <v>11</v>
      </c>
      <c r="E24" t="s">
        <v>119</v>
      </c>
      <c r="F24" t="s">
        <v>112</v>
      </c>
    </row>
    <row r="26" spans="1:6" x14ac:dyDescent="0.25">
      <c r="A26" t="s">
        <v>120</v>
      </c>
      <c r="D26" t="s">
        <v>11</v>
      </c>
      <c r="E26" t="s">
        <v>112</v>
      </c>
      <c r="F26" t="s">
        <v>112</v>
      </c>
    </row>
    <row r="27" spans="1:6" x14ac:dyDescent="0.25">
      <c r="A27" t="s">
        <v>121</v>
      </c>
      <c r="D27" t="s">
        <v>11</v>
      </c>
      <c r="E27" t="s">
        <v>122</v>
      </c>
      <c r="F27" t="s">
        <v>112</v>
      </c>
    </row>
    <row r="28" spans="1:6" x14ac:dyDescent="0.25">
      <c r="A28" t="s">
        <v>123</v>
      </c>
      <c r="D28" t="s">
        <v>11</v>
      </c>
      <c r="E28" t="s">
        <v>124</v>
      </c>
      <c r="F28" t="s">
        <v>112</v>
      </c>
    </row>
    <row r="32" spans="1:6" x14ac:dyDescent="0.25">
      <c r="A32" t="s">
        <v>125</v>
      </c>
      <c r="D32" t="s">
        <v>11</v>
      </c>
      <c r="E32" t="s">
        <v>112</v>
      </c>
      <c r="F3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Capa</vt:lpstr>
      <vt:lpstr>Vessel</vt:lpstr>
      <vt:lpstr>Barge</vt:lpstr>
      <vt:lpstr>Sample Report</vt:lpstr>
      <vt:lpstr>Time Log</vt:lpstr>
      <vt:lpstr>Letter of Protest</vt:lpstr>
      <vt:lpstr>VacuoAr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Naabsa synthetic tests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