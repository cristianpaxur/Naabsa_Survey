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ssel Ullage" state="visible" r:id="rId4"/>
    <sheet sheetId="2" name="Sounding Barge" state="visible" r:id="rId5"/>
    <sheet sheetId="3" name="Time Log" state="visible" r:id="rId6"/>
    <sheet sheetId="4" name="Sample Report" state="visible" r:id="rId7"/>
  </sheets>
  <calcPr calcId="171027"/>
</workbook>
</file>

<file path=xl/sharedStrings.xml><?xml version="1.0" encoding="utf-8"?>
<sst xmlns="http://schemas.openxmlformats.org/spreadsheetml/2006/main" count="256" uniqueCount="70">
  <si>
    <t>VESSEL´S SOUNDING/ULLAGE REPORT</t>
  </si>
  <si>
    <t>TEST VESSEL</t>
  </si>
  <si>
    <t>TEST FUEL</t>
  </si>
  <si>
    <t>TEST PORT</t>
  </si>
  <si>
    <t>TEST BARGE</t>
  </si>
  <si>
    <t>TEST survey_start_text</t>
  </si>
  <si>
    <t>TEST survey_end_text</t>
  </si>
  <si>
    <t>TEST vessel_open_trim_corrected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</si>
  <si>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</si>
  <si>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</si>
  <si>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</si>
  <si>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</si>
  <si>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</si>
  <si>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</si>
  <si>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</si>
  <si>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</si>
  <si>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</si>
  <si>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</si>
  <si>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</si>
  <si>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</si>
  <si>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TEST vessel_close_trim_corrected</t>
  </si>
  <si>
    <t>TEST vessel_thermometer</t>
  </si>
  <si>
    <t>TEST line_condition</t>
  </si>
  <si>
    <t>TEST water_detection</t>
  </si>
  <si>
    <t>TEST ENGINEER</t>
  </si>
  <si>
    <t>TEST SURVEYOR</t>
  </si>
  <si>
    <t>TEST barge_open_flowmeter</t>
  </si>
  <si>
    <t>TEST barge_open_trim_corrected</t>
  </si>
  <si>
    <t>TEST barge_close_flowmeter</t>
  </si>
  <si>
    <t>TEST barge_close_trim_corrected</t>
  </si>
  <si>
    <t>TEST barge_flowmeter_quantity</t>
  </si>
  <si>
    <t>TEST barge_flowmeter_type</t>
  </si>
  <si>
    <t>23/10/2026</t>
  </si>
  <si>
    <t>TEST barge_flowmeter_seal</t>
  </si>
  <si>
    <t>TEST barge_thermometer</t>
  </si>
  <si>
    <t>Operation</t>
  </si>
  <si>
    <t>Test preparation</t>
  </si>
  <si>
    <t>07:00</t>
  </si>
  <si>
    <t>Surveyor onboard</t>
  </si>
  <si>
    <t>09:00</t>
  </si>
  <si>
    <t>Meeting between C/E and surveyor</t>
  </si>
  <si>
    <t>Initial Soundings/Ullage - Vessel</t>
  </si>
  <si>
    <t>08:15</t>
  </si>
  <si>
    <t>08:40</t>
  </si>
  <si>
    <t>Bunker Barge arrived</t>
  </si>
  <si>
    <t>Initial Soundings/Ullage - Barge</t>
  </si>
  <si>
    <t>12:50</t>
  </si>
  <si>
    <t>Bunkering operation</t>
  </si>
  <si>
    <t>Final Soundings/Ullage - Barge</t>
  </si>
  <si>
    <t>18:40</t>
  </si>
  <si>
    <t>Final Soundings/Ullage - Vessel</t>
  </si>
  <si>
    <t>19;10</t>
  </si>
  <si>
    <t>Surveyor off board</t>
  </si>
  <si>
    <t>Stoppages/Delays</t>
  </si>
  <si>
    <t>TEST sampling_tanks</t>
  </si>
  <si>
    <t>TEST sampling_method</t>
  </si>
  <si>
    <t>TEST sample_vessel_point</t>
  </si>
  <si>
    <t>TEST sample_barge_point</t>
  </si>
  <si>
    <t>TEST sample_vessel_quantity</t>
  </si>
  <si>
    <t>TEST sample_barge_quantity</t>
  </si>
  <si>
    <t>TEST sample_vessel_chief</t>
  </si>
  <si>
    <t>0001234</t>
  </si>
  <si>
    <t>TEST sample_vessel_supplier</t>
  </si>
  <si>
    <t>TEST sample_barge_supplier</t>
  </si>
  <si>
    <t>TEST sample_vessel_laboratory</t>
  </si>
  <si>
    <t>TEST sample_barge_laboratory</t>
  </si>
  <si>
    <t>TEST sample_vessel_marpol</t>
  </si>
  <si>
    <t>TEST sample_barge_marpol</t>
  </si>
  <si>
    <t>TEST sample_vessel_surveyor</t>
  </si>
  <si>
    <t>TEST sample_barge_surveyor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</si>
</sst>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M74"/>
  <sheetFormatPr defaultRowHeight="15" outlineLevelRow="0" outlineLevelCol="0" x14ac:dyDescent="55"/>
  <sheetData>
    <row r="6" spans="1:1" x14ac:dyDescent="0.25">
      <c r="A6" t="s">
        <v>0</v>
      </c>
    </row>
    <row r="8" spans="3:9" x14ac:dyDescent="0.25">
      <c r="C8" t="s">
        <v>1</v>
      </c>
      <c r="I8" t="s">
        <v>2</v>
      </c>
    </row>
    <row r="9" spans="9:9" x14ac:dyDescent="0.25">
      <c r="I9" t="s">
        <v>3</v>
      </c>
    </row>
    <row r="10" spans="3:9" x14ac:dyDescent="0.25">
      <c r="C10" t="s">
        <v>4</v>
      </c>
      <c r="I10" t="s">
        <v>5</v>
      </c>
    </row>
    <row r="11" spans="9:9" x14ac:dyDescent="0.25">
      <c r="I11" t="s">
        <v>6</v>
      </c>
    </row>
    <row r="18" spans="2:11" x14ac:dyDescent="0.25">
      <c r="B18">
        <v>0</v>
      </c>
      <c r="E18">
        <v>0</v>
      </c>
      <c r="H18">
        <v>0</v>
      </c>
      <c r="K18" t="s">
        <v>7</v>
      </c>
    </row>
    <row r="21" spans="1:13" x14ac:dyDescent="0.25">
      <c r="A21" t="s">
        <v>8</v>
      </c>
      <c r="B21" t="s">
        <v>8</v>
      </c>
      <c r="C21" t="s">
        <v>8</v>
      </c>
      <c r="D21">
        <v>0</v>
      </c>
      <c r="E21">
        <v>0</v>
      </c>
      <c r="F21" t="s">
        <v>8</v>
      </c>
      <c r="G21">
        <v>0</v>
      </c>
      <c r="H21">
        <v>0</v>
      </c>
      <c r="I21">
        <v>0</v>
      </c>
      <c r="J21">
        <v>0</v>
      </c>
      <c r="K21">
        <v>0</v>
      </c>
      <c r="L21">
        <f>20+0.1</f>
        <v>20.1</v>
      </c>
      <c r="M21">
        <f>20</f>
        <v>20</v>
      </c>
    </row>
    <row r="22" spans="1:13" x14ac:dyDescent="0.25">
      <c r="A22" t="s">
        <v>9</v>
      </c>
      <c r="B22" t="s">
        <v>9</v>
      </c>
      <c r="C22" t="s">
        <v>9</v>
      </c>
      <c r="D22">
        <v>0</v>
      </c>
      <c r="E22">
        <v>0</v>
      </c>
      <c r="F22" t="s">
        <v>9</v>
      </c>
      <c r="G22">
        <v>0</v>
      </c>
      <c r="H22">
        <v>0</v>
      </c>
      <c r="I22">
        <v>0</v>
      </c>
      <c r="J22">
        <v>0</v>
      </c>
      <c r="K22">
        <v>0</v>
      </c>
      <c r="L22">
        <f>20+0.1</f>
        <v>20.1</v>
      </c>
      <c r="M22">
        <f>20</f>
        <v>20</v>
      </c>
    </row>
    <row r="23" spans="1:13" x14ac:dyDescent="0.25">
      <c r="A23" t="s">
        <v>10</v>
      </c>
      <c r="B23" t="s">
        <v>10</v>
      </c>
      <c r="C23" t="s">
        <v>10</v>
      </c>
      <c r="D23">
        <v>0</v>
      </c>
      <c r="E23">
        <v>0</v>
      </c>
      <c r="F23" t="s">
        <v>10</v>
      </c>
      <c r="G23">
        <v>0</v>
      </c>
      <c r="H23">
        <v>0</v>
      </c>
      <c r="I23">
        <v>0</v>
      </c>
      <c r="J23">
        <v>0</v>
      </c>
      <c r="K23">
        <v>0</v>
      </c>
      <c r="L23">
        <f>20+0.1</f>
        <v>20.1</v>
      </c>
      <c r="M23">
        <f>20</f>
        <v>20</v>
      </c>
    </row>
    <row r="24" spans="1:13" x14ac:dyDescent="0.25">
      <c r="A24" t="s">
        <v>11</v>
      </c>
      <c r="B24" t="s">
        <v>11</v>
      </c>
      <c r="C24" t="s">
        <v>11</v>
      </c>
      <c r="D24">
        <v>0</v>
      </c>
      <c r="E24">
        <v>0</v>
      </c>
      <c r="F24" t="s">
        <v>11</v>
      </c>
      <c r="G24">
        <v>0</v>
      </c>
      <c r="H24">
        <v>0</v>
      </c>
      <c r="I24">
        <v>0</v>
      </c>
      <c r="J24">
        <v>0</v>
      </c>
      <c r="K24">
        <v>0</v>
      </c>
      <c r="L24">
        <f>20+0.1</f>
        <v>20.1</v>
      </c>
      <c r="M24">
        <f>20</f>
        <v>20</v>
      </c>
    </row>
    <row r="25" spans="1:13" x14ac:dyDescent="0.25">
      <c r="A25" t="s">
        <v>12</v>
      </c>
      <c r="B25" t="s">
        <v>12</v>
      </c>
      <c r="C25" t="s">
        <v>12</v>
      </c>
      <c r="D25">
        <v>0</v>
      </c>
      <c r="E25">
        <v>0</v>
      </c>
      <c r="F25" t="s">
        <v>12</v>
      </c>
      <c r="G25">
        <v>0</v>
      </c>
      <c r="H25">
        <v>0</v>
      </c>
      <c r="I25">
        <v>0</v>
      </c>
      <c r="J25">
        <v>0</v>
      </c>
      <c r="K25">
        <v>0</v>
      </c>
      <c r="L25">
        <f>20+0.1</f>
        <v>20.1</v>
      </c>
      <c r="M25">
        <f>20</f>
        <v>20</v>
      </c>
    </row>
    <row r="26" spans="1:13" x14ac:dyDescent="0.25">
      <c r="A26" t="s">
        <v>13</v>
      </c>
      <c r="B26" t="s">
        <v>13</v>
      </c>
      <c r="C26" t="s">
        <v>13</v>
      </c>
      <c r="D26">
        <v>0</v>
      </c>
      <c r="E26">
        <v>0</v>
      </c>
      <c r="F26" t="s">
        <v>13</v>
      </c>
      <c r="G26">
        <v>0</v>
      </c>
      <c r="H26">
        <v>0</v>
      </c>
      <c r="I26">
        <v>0</v>
      </c>
      <c r="J26">
        <v>0</v>
      </c>
      <c r="K26">
        <v>0</v>
      </c>
      <c r="L26">
        <f>20+0.1</f>
        <v>20.1</v>
      </c>
      <c r="M26">
        <f>20</f>
        <v>20</v>
      </c>
    </row>
    <row r="27" spans="1:13" x14ac:dyDescent="0.25">
      <c r="A27" t="s">
        <v>14</v>
      </c>
      <c r="B27" t="s">
        <v>14</v>
      </c>
      <c r="C27" t="s">
        <v>14</v>
      </c>
      <c r="D27">
        <v>0</v>
      </c>
      <c r="E27">
        <v>0</v>
      </c>
      <c r="F27" t="s">
        <v>14</v>
      </c>
      <c r="G27">
        <v>0</v>
      </c>
      <c r="H27">
        <v>0</v>
      </c>
      <c r="I27">
        <v>0</v>
      </c>
      <c r="J27">
        <v>0</v>
      </c>
      <c r="K27">
        <v>0</v>
      </c>
      <c r="L27">
        <f>0</f>
        <v>0</v>
      </c>
      <c r="M27">
        <f>0</f>
        <v>0</v>
      </c>
    </row>
    <row r="28" spans="1:13" x14ac:dyDescent="0.25">
      <c r="A28" t="s">
        <v>15</v>
      </c>
      <c r="B28" t="s">
        <v>15</v>
      </c>
      <c r="C28" t="s">
        <v>15</v>
      </c>
      <c r="D28">
        <v>0</v>
      </c>
      <c r="E28">
        <v>0</v>
      </c>
      <c r="F28" t="s">
        <v>15</v>
      </c>
      <c r="G28">
        <v>0</v>
      </c>
      <c r="H28">
        <v>0</v>
      </c>
      <c r="I28">
        <v>0</v>
      </c>
      <c r="J28">
        <v>0</v>
      </c>
      <c r="K28">
        <v>0</v>
      </c>
      <c r="L28">
        <f>0</f>
        <v>0</v>
      </c>
      <c r="M28">
        <f>0</f>
        <v>0</v>
      </c>
    </row>
    <row r="29" spans="1:13" x14ac:dyDescent="0.25">
      <c r="A29" t="s">
        <v>16</v>
      </c>
      <c r="B29" t="s">
        <v>16</v>
      </c>
      <c r="C29" t="s">
        <v>16</v>
      </c>
      <c r="D29">
        <v>0</v>
      </c>
      <c r="E29">
        <v>0</v>
      </c>
      <c r="F29" t="s">
        <v>16</v>
      </c>
      <c r="G29">
        <v>0</v>
      </c>
      <c r="H29">
        <v>0</v>
      </c>
      <c r="I29">
        <v>0</v>
      </c>
      <c r="J29">
        <v>0</v>
      </c>
      <c r="K29">
        <v>0</v>
      </c>
      <c r="L29">
        <f>0</f>
        <v>0</v>
      </c>
      <c r="M29">
        <f>0</f>
        <v>0</v>
      </c>
    </row>
    <row r="30" spans="1:13" x14ac:dyDescent="0.25">
      <c r="A30" t="s">
        <v>17</v>
      </c>
      <c r="B30" t="s">
        <v>17</v>
      </c>
      <c r="C30" t="s">
        <v>17</v>
      </c>
      <c r="D30">
        <v>0</v>
      </c>
      <c r="E30">
        <v>0</v>
      </c>
      <c r="F30" t="s">
        <v>17</v>
      </c>
      <c r="G30">
        <v>0</v>
      </c>
      <c r="H30">
        <v>0</v>
      </c>
      <c r="I30">
        <v>0</v>
      </c>
      <c r="J30">
        <v>0</v>
      </c>
      <c r="K30">
        <v>0</v>
      </c>
      <c r="L30">
        <f>0</f>
        <v>0</v>
      </c>
      <c r="M30">
        <f>0</f>
        <v>0</v>
      </c>
    </row>
    <row r="31" spans="1:13" x14ac:dyDescent="0.25">
      <c r="A31" t="s">
        <v>18</v>
      </c>
      <c r="B31" t="s">
        <v>18</v>
      </c>
      <c r="C31" t="s">
        <v>18</v>
      </c>
      <c r="D31">
        <v>0</v>
      </c>
      <c r="E31">
        <v>0</v>
      </c>
      <c r="F31" t="s">
        <v>18</v>
      </c>
      <c r="G31">
        <v>0</v>
      </c>
      <c r="H31">
        <v>0</v>
      </c>
      <c r="I31">
        <v>0</v>
      </c>
      <c r="J31">
        <v>0</v>
      </c>
      <c r="K31">
        <v>0</v>
      </c>
      <c r="L31">
        <f>0</f>
        <v>0</v>
      </c>
      <c r="M31">
        <f>0</f>
        <v>0</v>
      </c>
    </row>
    <row r="32" spans="1:13" x14ac:dyDescent="0.25">
      <c r="A32" t="s">
        <v>19</v>
      </c>
      <c r="B32" t="s">
        <v>19</v>
      </c>
      <c r="C32" t="s">
        <v>19</v>
      </c>
      <c r="D32">
        <v>0</v>
      </c>
      <c r="E32">
        <v>0</v>
      </c>
      <c r="F32" t="s">
        <v>19</v>
      </c>
      <c r="G32">
        <v>0</v>
      </c>
      <c r="H32">
        <v>0</v>
      </c>
      <c r="I32">
        <v>0</v>
      </c>
      <c r="J32">
        <v>0</v>
      </c>
      <c r="K32">
        <v>0</v>
      </c>
      <c r="L32">
        <f>0</f>
        <v>0</v>
      </c>
      <c r="M32">
        <f>0</f>
        <v>0</v>
      </c>
    </row>
    <row r="33" spans="12:13" x14ac:dyDescent="0.25">
      <c r="L33">
        <f>120.6</f>
        <v>120.6</v>
      </c>
      <c r="M33">
        <f>120</f>
        <v>120</v>
      </c>
    </row>
    <row r="35" spans="11:13" x14ac:dyDescent="0.25">
      <c r="K35">
        <f>115</f>
        <v>115</v>
      </c>
      <c r="M35">
        <f>5</f>
        <v>5</v>
      </c>
    </row>
    <row r="38" spans="2:11" x14ac:dyDescent="0.25">
      <c r="B38">
        <v>0</v>
      </c>
      <c r="E38">
        <v>0</v>
      </c>
      <c r="H38">
        <v>0</v>
      </c>
      <c r="K38" t="s">
        <v>20</v>
      </c>
    </row>
    <row r="41" spans="1:13" x14ac:dyDescent="0.25">
      <c r="A41" t="s">
        <v>8</v>
      </c>
      <c r="B41" t="s">
        <v>8</v>
      </c>
      <c r="C41" t="s">
        <v>8</v>
      </c>
      <c r="D41">
        <v>0</v>
      </c>
      <c r="E41">
        <v>0</v>
      </c>
      <c r="F41" t="s">
        <v>8</v>
      </c>
      <c r="G41">
        <v>0</v>
      </c>
      <c r="H41">
        <v>0</v>
      </c>
      <c r="I41">
        <v>0</v>
      </c>
      <c r="J41">
        <v>0</v>
      </c>
      <c r="K41">
        <v>0</v>
      </c>
      <c r="L41">
        <f>70+0.1</f>
        <v>70.1</v>
      </c>
      <c r="M41">
        <f>70</f>
        <v>70</v>
      </c>
    </row>
    <row r="42" spans="1:13" x14ac:dyDescent="0.25">
      <c r="A42" t="s">
        <v>9</v>
      </c>
      <c r="B42" t="s">
        <v>9</v>
      </c>
      <c r="C42" t="s">
        <v>9</v>
      </c>
      <c r="D42">
        <v>0</v>
      </c>
      <c r="E42">
        <v>0</v>
      </c>
      <c r="F42" t="s">
        <v>9</v>
      </c>
      <c r="G42">
        <v>0</v>
      </c>
      <c r="H42">
        <v>0</v>
      </c>
      <c r="I42">
        <v>0</v>
      </c>
      <c r="J42">
        <v>0</v>
      </c>
      <c r="K42">
        <v>0</v>
      </c>
      <c r="L42">
        <f>70+0.1</f>
        <v>70.1</v>
      </c>
      <c r="M42">
        <f>70</f>
        <v>70</v>
      </c>
    </row>
    <row r="43" spans="1:13" x14ac:dyDescent="0.25">
      <c r="A43" t="s">
        <v>10</v>
      </c>
      <c r="B43" t="s">
        <v>10</v>
      </c>
      <c r="C43" t="s">
        <v>10</v>
      </c>
      <c r="D43">
        <v>0</v>
      </c>
      <c r="E43">
        <v>0</v>
      </c>
      <c r="F43" t="s">
        <v>10</v>
      </c>
      <c r="G43">
        <v>0</v>
      </c>
      <c r="H43">
        <v>0</v>
      </c>
      <c r="I43">
        <v>0</v>
      </c>
      <c r="J43">
        <v>0</v>
      </c>
      <c r="K43">
        <v>0</v>
      </c>
      <c r="L43">
        <f>70+0.1</f>
        <v>70.1</v>
      </c>
      <c r="M43">
        <f>70</f>
        <v>70</v>
      </c>
    </row>
    <row r="44" spans="1:13" x14ac:dyDescent="0.25">
      <c r="A44" t="s">
        <v>11</v>
      </c>
      <c r="B44" t="s">
        <v>11</v>
      </c>
      <c r="C44" t="s">
        <v>11</v>
      </c>
      <c r="D44">
        <v>0</v>
      </c>
      <c r="E44">
        <v>0</v>
      </c>
      <c r="F44" t="s">
        <v>11</v>
      </c>
      <c r="G44">
        <v>0</v>
      </c>
      <c r="H44">
        <v>0</v>
      </c>
      <c r="I44">
        <v>0</v>
      </c>
      <c r="J44">
        <v>0</v>
      </c>
      <c r="K44">
        <v>0</v>
      </c>
      <c r="L44">
        <f>70+0.1</f>
        <v>70.1</v>
      </c>
      <c r="M44">
        <f>70</f>
        <v>70</v>
      </c>
    </row>
    <row r="45" spans="1:13" x14ac:dyDescent="0.25">
      <c r="A45" t="s">
        <v>12</v>
      </c>
      <c r="B45" t="s">
        <v>12</v>
      </c>
      <c r="C45" t="s">
        <v>12</v>
      </c>
      <c r="D45">
        <v>0</v>
      </c>
      <c r="E45">
        <v>0</v>
      </c>
      <c r="F45" t="s">
        <v>12</v>
      </c>
      <c r="G45">
        <v>0</v>
      </c>
      <c r="H45">
        <v>0</v>
      </c>
      <c r="I45">
        <v>0</v>
      </c>
      <c r="J45">
        <v>0</v>
      </c>
      <c r="K45">
        <v>0</v>
      </c>
      <c r="L45">
        <f>70+0.1</f>
        <v>70.1</v>
      </c>
      <c r="M45">
        <f>70</f>
        <v>70</v>
      </c>
    </row>
    <row r="46" spans="1:13" x14ac:dyDescent="0.25">
      <c r="A46" t="s">
        <v>13</v>
      </c>
      <c r="B46" t="s">
        <v>13</v>
      </c>
      <c r="C46" t="s">
        <v>13</v>
      </c>
      <c r="D46">
        <v>0</v>
      </c>
      <c r="E46">
        <v>0</v>
      </c>
      <c r="F46" t="s">
        <v>13</v>
      </c>
      <c r="G46">
        <v>0</v>
      </c>
      <c r="H46">
        <v>0</v>
      </c>
      <c r="I46">
        <v>0</v>
      </c>
      <c r="J46">
        <v>0</v>
      </c>
      <c r="K46">
        <v>0</v>
      </c>
      <c r="L46">
        <f>70+0.1</f>
        <v>70.1</v>
      </c>
      <c r="M46">
        <f>70</f>
        <v>70</v>
      </c>
    </row>
    <row r="47" spans="1:13" x14ac:dyDescent="0.25">
      <c r="A47" t="s">
        <v>14</v>
      </c>
      <c r="B47" t="s">
        <v>14</v>
      </c>
      <c r="C47" t="s">
        <v>14</v>
      </c>
      <c r="D47">
        <v>0</v>
      </c>
      <c r="E47">
        <v>0</v>
      </c>
      <c r="F47" t="s">
        <v>14</v>
      </c>
      <c r="G47">
        <v>0</v>
      </c>
      <c r="H47">
        <v>0</v>
      </c>
      <c r="I47">
        <v>0</v>
      </c>
      <c r="J47">
        <v>0</v>
      </c>
      <c r="K47">
        <v>0</v>
      </c>
      <c r="L47">
        <f>0</f>
        <v>0</v>
      </c>
      <c r="M47">
        <f>0</f>
        <v>0</v>
      </c>
    </row>
    <row r="48" spans="1:13" x14ac:dyDescent="0.25">
      <c r="A48" t="s">
        <v>15</v>
      </c>
      <c r="B48" t="s">
        <v>15</v>
      </c>
      <c r="C48" t="s">
        <v>15</v>
      </c>
      <c r="D48">
        <v>0</v>
      </c>
      <c r="E48">
        <v>0</v>
      </c>
      <c r="F48" t="s">
        <v>15</v>
      </c>
      <c r="G48">
        <v>0</v>
      </c>
      <c r="H48">
        <v>0</v>
      </c>
      <c r="I48">
        <v>0</v>
      </c>
      <c r="J48">
        <v>0</v>
      </c>
      <c r="K48">
        <v>0</v>
      </c>
      <c r="L48">
        <f>0</f>
        <v>0</v>
      </c>
      <c r="M48">
        <f>0</f>
        <v>0</v>
      </c>
    </row>
    <row r="49" spans="1:13" x14ac:dyDescent="0.25">
      <c r="A49" t="s">
        <v>16</v>
      </c>
      <c r="B49" t="s">
        <v>16</v>
      </c>
      <c r="C49" t="s">
        <v>16</v>
      </c>
      <c r="D49">
        <v>0</v>
      </c>
      <c r="E49">
        <v>0</v>
      </c>
      <c r="F49" t="s">
        <v>16</v>
      </c>
      <c r="G49">
        <v>0</v>
      </c>
      <c r="H49">
        <v>0</v>
      </c>
      <c r="I49">
        <v>0</v>
      </c>
      <c r="J49">
        <v>0</v>
      </c>
      <c r="K49">
        <v>0</v>
      </c>
      <c r="L49">
        <f>0</f>
        <v>0</v>
      </c>
      <c r="M49">
        <f>0</f>
        <v>0</v>
      </c>
    </row>
    <row r="50" spans="1:13" x14ac:dyDescent="0.25">
      <c r="A50" t="s">
        <v>17</v>
      </c>
      <c r="B50" t="s">
        <v>17</v>
      </c>
      <c r="C50" t="s">
        <v>17</v>
      </c>
      <c r="D50">
        <v>0</v>
      </c>
      <c r="E50">
        <v>0</v>
      </c>
      <c r="F50" t="s">
        <v>17</v>
      </c>
      <c r="G50">
        <v>0</v>
      </c>
      <c r="H50">
        <v>0</v>
      </c>
      <c r="I50">
        <v>0</v>
      </c>
      <c r="J50">
        <v>0</v>
      </c>
      <c r="K50">
        <v>0</v>
      </c>
      <c r="L50">
        <f>0</f>
        <v>0</v>
      </c>
      <c r="M50">
        <f>0</f>
        <v>0</v>
      </c>
    </row>
    <row r="51" spans="1:13" x14ac:dyDescent="0.25">
      <c r="A51" t="s">
        <v>18</v>
      </c>
      <c r="B51" t="s">
        <v>18</v>
      </c>
      <c r="C51" t="s">
        <v>18</v>
      </c>
      <c r="D51">
        <v>0</v>
      </c>
      <c r="E51">
        <v>0</v>
      </c>
      <c r="F51" t="s">
        <v>18</v>
      </c>
      <c r="G51">
        <v>0</v>
      </c>
      <c r="H51">
        <v>0</v>
      </c>
      <c r="I51">
        <v>0</v>
      </c>
      <c r="J51">
        <v>0</v>
      </c>
      <c r="K51">
        <v>0</v>
      </c>
      <c r="L51">
        <f>0</f>
        <v>0</v>
      </c>
      <c r="M51">
        <f>0</f>
        <v>0</v>
      </c>
    </row>
    <row r="52" spans="1:13" x14ac:dyDescent="0.25">
      <c r="A52" t="s">
        <v>19</v>
      </c>
      <c r="B52" t="s">
        <v>19</v>
      </c>
      <c r="C52" t="s">
        <v>19</v>
      </c>
      <c r="D52">
        <v>0</v>
      </c>
      <c r="E52">
        <v>0</v>
      </c>
      <c r="F52" t="s">
        <v>19</v>
      </c>
      <c r="G52">
        <v>0</v>
      </c>
      <c r="H52">
        <v>0</v>
      </c>
      <c r="I52">
        <v>0</v>
      </c>
      <c r="J52">
        <v>0</v>
      </c>
      <c r="K52">
        <v>0</v>
      </c>
      <c r="L52">
        <f>0</f>
        <v>0</v>
      </c>
      <c r="M52">
        <f>0</f>
        <v>0</v>
      </c>
    </row>
    <row r="53" spans="12:13" x14ac:dyDescent="0.25">
      <c r="L53">
        <f>420.6</f>
        <v>420.6</v>
      </c>
      <c r="M53">
        <f>420</f>
        <v>420</v>
      </c>
    </row>
    <row r="57" spans="3:3" x14ac:dyDescent="0.25">
      <c r="C57" t="s">
        <v>21</v>
      </c>
    </row>
    <row r="58" spans="3:12" x14ac:dyDescent="0.25">
      <c r="C58" t="s">
        <v>22</v>
      </c>
      <c r="L58">
        <f>299.5</f>
        <v>299.5</v>
      </c>
    </row>
    <row r="59" spans="12:12" x14ac:dyDescent="0.25">
      <c r="L59">
        <f>300</f>
        <v>300</v>
      </c>
    </row>
    <row r="60" spans="3:12" x14ac:dyDescent="0.25">
      <c r="C60" t="s">
        <v>23</v>
      </c>
      <c r="L60">
        <f>0.5</f>
        <v>0.5</v>
      </c>
    </row>
    <row r="61" spans="12:12" x14ac:dyDescent="0.25">
      <c r="L61">
        <f>0.1669449081803005</f>
        <v>0.1669449081803005</v>
      </c>
    </row>
    <row r="74" spans="4:11" x14ac:dyDescent="0.25">
      <c r="D74" t="s">
        <v>24</v>
      </c>
      <c r="K7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6:N58"/>
  <sheetFormatPr defaultRowHeight="15" outlineLevelRow="0" outlineLevelCol="0" x14ac:dyDescent="55"/>
  <sheetData>
    <row r="16" spans="11:11" x14ac:dyDescent="0.25">
      <c r="K16" t="s">
        <v>26</v>
      </c>
    </row>
    <row r="17" spans="3:12" x14ac:dyDescent="0.25">
      <c r="C17">
        <v>0</v>
      </c>
      <c r="F17">
        <v>0</v>
      </c>
      <c r="I17">
        <v>0</v>
      </c>
      <c r="L17" t="s">
        <v>27</v>
      </c>
    </row>
    <row r="20" spans="2:14" x14ac:dyDescent="0.25">
      <c r="B20" t="s">
        <v>8</v>
      </c>
      <c r="C20" t="s">
        <v>8</v>
      </c>
      <c r="D20" t="s">
        <v>8</v>
      </c>
      <c r="E20">
        <v>0</v>
      </c>
      <c r="F20">
        <v>0</v>
      </c>
      <c r="G20" t="s">
        <v>8</v>
      </c>
      <c r="H20">
        <v>0</v>
      </c>
      <c r="I20">
        <v>0</v>
      </c>
      <c r="J20">
        <v>0</v>
      </c>
      <c r="K20">
        <v>0</v>
      </c>
      <c r="L20">
        <v>0</v>
      </c>
      <c r="M20">
        <f>100+0.1</f>
        <v>100.1</v>
      </c>
      <c r="N20">
        <f>100</f>
        <v>100</v>
      </c>
    </row>
    <row r="21" spans="2:14" x14ac:dyDescent="0.25">
      <c r="B21" t="s">
        <v>9</v>
      </c>
      <c r="C21" t="s">
        <v>9</v>
      </c>
      <c r="D21" t="s">
        <v>9</v>
      </c>
      <c r="E21">
        <v>0</v>
      </c>
      <c r="F21">
        <v>0</v>
      </c>
      <c r="G21" t="s">
        <v>9</v>
      </c>
      <c r="H21">
        <v>0</v>
      </c>
      <c r="I21">
        <v>0</v>
      </c>
      <c r="J21">
        <v>0</v>
      </c>
      <c r="K21">
        <v>0</v>
      </c>
      <c r="L21">
        <v>0</v>
      </c>
      <c r="M21">
        <f>100+0.1</f>
        <v>100.1</v>
      </c>
      <c r="N21">
        <f>100</f>
        <v>100</v>
      </c>
    </row>
    <row r="22" spans="2:14" x14ac:dyDescent="0.25">
      <c r="B22" t="s">
        <v>10</v>
      </c>
      <c r="C22" t="s">
        <v>10</v>
      </c>
      <c r="D22" t="s">
        <v>10</v>
      </c>
      <c r="E22">
        <v>0</v>
      </c>
      <c r="F22">
        <v>0</v>
      </c>
      <c r="G22" t="s">
        <v>10</v>
      </c>
      <c r="H22">
        <v>0</v>
      </c>
      <c r="I22">
        <v>0</v>
      </c>
      <c r="J22">
        <v>0</v>
      </c>
      <c r="K22">
        <v>0</v>
      </c>
      <c r="L22">
        <v>0</v>
      </c>
      <c r="M22">
        <f>100+0.1</f>
        <v>100.1</v>
      </c>
      <c r="N22">
        <f>100</f>
        <v>100</v>
      </c>
    </row>
    <row r="23" spans="2:14" x14ac:dyDescent="0.25">
      <c r="B23" t="s">
        <v>11</v>
      </c>
      <c r="C23" t="s">
        <v>11</v>
      </c>
      <c r="D23" t="s">
        <v>11</v>
      </c>
      <c r="E23">
        <v>0</v>
      </c>
      <c r="F23">
        <v>0</v>
      </c>
      <c r="G23" t="s">
        <v>11</v>
      </c>
      <c r="H23">
        <v>0</v>
      </c>
      <c r="I23">
        <v>0</v>
      </c>
      <c r="J23">
        <v>0</v>
      </c>
      <c r="K23">
        <v>0</v>
      </c>
      <c r="L23">
        <v>0</v>
      </c>
      <c r="M23">
        <f>100+0.1</f>
        <v>100.1</v>
      </c>
      <c r="N23">
        <f>100</f>
        <v>100</v>
      </c>
    </row>
    <row r="24" spans="2:14" x14ac:dyDescent="0.25">
      <c r="B24" t="s">
        <v>12</v>
      </c>
      <c r="C24" t="s">
        <v>12</v>
      </c>
      <c r="D24" t="s">
        <v>12</v>
      </c>
      <c r="E24">
        <v>0</v>
      </c>
      <c r="F24">
        <v>0</v>
      </c>
      <c r="G24" t="s">
        <v>12</v>
      </c>
      <c r="H24">
        <v>0</v>
      </c>
      <c r="I24">
        <v>0</v>
      </c>
      <c r="J24">
        <v>0</v>
      </c>
      <c r="K24">
        <v>0</v>
      </c>
      <c r="L24">
        <v>0</v>
      </c>
      <c r="M24">
        <f>100+0.1</f>
        <v>100.1</v>
      </c>
      <c r="N24">
        <f>100</f>
        <v>100</v>
      </c>
    </row>
    <row r="25" spans="2:14" x14ac:dyDescent="0.25">
      <c r="B25" t="s">
        <v>13</v>
      </c>
      <c r="C25" t="s">
        <v>13</v>
      </c>
      <c r="D25" t="s">
        <v>13</v>
      </c>
      <c r="E25">
        <v>0</v>
      </c>
      <c r="F25">
        <v>0</v>
      </c>
      <c r="G25" t="s">
        <v>13</v>
      </c>
      <c r="H25">
        <v>0</v>
      </c>
      <c r="I25">
        <v>0</v>
      </c>
      <c r="J25">
        <v>0</v>
      </c>
      <c r="K25">
        <v>0</v>
      </c>
      <c r="L25">
        <v>0</v>
      </c>
      <c r="M25">
        <f>100+0.1</f>
        <v>100.1</v>
      </c>
      <c r="N25">
        <f>100</f>
        <v>100</v>
      </c>
    </row>
    <row r="26" spans="2:14" x14ac:dyDescent="0.25">
      <c r="B26" t="s">
        <v>14</v>
      </c>
      <c r="C26" t="s">
        <v>14</v>
      </c>
      <c r="D26" t="s">
        <v>14</v>
      </c>
      <c r="E26">
        <v>0</v>
      </c>
      <c r="F26">
        <v>0</v>
      </c>
      <c r="G26" t="s">
        <v>14</v>
      </c>
      <c r="H26">
        <v>0</v>
      </c>
      <c r="I26">
        <v>0</v>
      </c>
      <c r="J26">
        <v>0</v>
      </c>
      <c r="K26">
        <v>0</v>
      </c>
      <c r="L26">
        <v>0</v>
      </c>
      <c r="M26">
        <f>100+0.1</f>
        <v>100.1</v>
      </c>
      <c r="N26">
        <f>100</f>
        <v>100</v>
      </c>
    </row>
    <row r="27" spans="2:14" x14ac:dyDescent="0.25">
      <c r="B27" t="s">
        <v>15</v>
      </c>
      <c r="C27" t="s">
        <v>15</v>
      </c>
      <c r="D27" t="s">
        <v>15</v>
      </c>
      <c r="E27">
        <v>0</v>
      </c>
      <c r="F27">
        <v>0</v>
      </c>
      <c r="G27" t="s">
        <v>15</v>
      </c>
      <c r="H27">
        <v>0</v>
      </c>
      <c r="I27">
        <v>0</v>
      </c>
      <c r="J27">
        <v>0</v>
      </c>
      <c r="K27">
        <v>0</v>
      </c>
      <c r="L27">
        <v>0</v>
      </c>
      <c r="M27">
        <f>100+0.1</f>
        <v>100.1</v>
      </c>
      <c r="N27">
        <f>100</f>
        <v>100</v>
      </c>
    </row>
    <row r="28" spans="2:14" x14ac:dyDescent="0.25">
      <c r="B28" t="s">
        <v>16</v>
      </c>
      <c r="C28" t="s">
        <v>16</v>
      </c>
      <c r="D28" t="s">
        <v>16</v>
      </c>
      <c r="E28">
        <v>0</v>
      </c>
      <c r="F28">
        <v>0</v>
      </c>
      <c r="G28" t="s">
        <v>16</v>
      </c>
      <c r="H28">
        <v>0</v>
      </c>
      <c r="I28">
        <v>0</v>
      </c>
      <c r="J28">
        <v>0</v>
      </c>
      <c r="K28">
        <v>0</v>
      </c>
      <c r="L28">
        <v>0</v>
      </c>
      <c r="M28">
        <f>100+0.1</f>
        <v>100.1</v>
      </c>
      <c r="N28">
        <f>100</f>
        <v>100</v>
      </c>
    </row>
    <row r="29" spans="2:14" x14ac:dyDescent="0.25">
      <c r="B29" t="s">
        <v>17</v>
      </c>
      <c r="C29" t="s">
        <v>17</v>
      </c>
      <c r="D29" t="s">
        <v>17</v>
      </c>
      <c r="E29">
        <v>0</v>
      </c>
      <c r="F29">
        <v>0</v>
      </c>
      <c r="G29" t="s">
        <v>17</v>
      </c>
      <c r="H29">
        <v>0</v>
      </c>
      <c r="I29">
        <v>0</v>
      </c>
      <c r="J29">
        <v>0</v>
      </c>
      <c r="K29">
        <v>0</v>
      </c>
      <c r="L29">
        <v>0</v>
      </c>
      <c r="M29">
        <f>100+0.1</f>
        <v>100.1</v>
      </c>
      <c r="N29">
        <f>100</f>
        <v>100</v>
      </c>
    </row>
    <row r="30" spans="13:14" x14ac:dyDescent="0.25">
      <c r="M30">
        <f>1001</f>
        <v>1001</v>
      </c>
      <c r="N30">
        <f>1000</f>
        <v>1000</v>
      </c>
    </row>
    <row r="33" spans="11:11" x14ac:dyDescent="0.25">
      <c r="K33" t="s">
        <v>28</v>
      </c>
    </row>
    <row r="34" spans="3:12" x14ac:dyDescent="0.25">
      <c r="C34">
        <v>0</v>
      </c>
      <c r="F34">
        <v>0</v>
      </c>
      <c r="I34">
        <v>0</v>
      </c>
      <c r="L34" t="s">
        <v>29</v>
      </c>
    </row>
    <row r="37" spans="2:14" x14ac:dyDescent="0.25">
      <c r="B37" t="s">
        <v>8</v>
      </c>
      <c r="C37" t="s">
        <v>8</v>
      </c>
      <c r="D37" t="s">
        <v>8</v>
      </c>
      <c r="E37">
        <v>0</v>
      </c>
      <c r="F37">
        <v>0</v>
      </c>
      <c r="G37" t="s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f>71+0.1</f>
        <v>71.1</v>
      </c>
      <c r="N37">
        <f>71</f>
        <v>71</v>
      </c>
    </row>
    <row r="38" spans="2:14" x14ac:dyDescent="0.25">
      <c r="B38" t="s">
        <v>9</v>
      </c>
      <c r="C38" t="s">
        <v>9</v>
      </c>
      <c r="D38" t="s">
        <v>9</v>
      </c>
      <c r="E38">
        <v>0</v>
      </c>
      <c r="F38">
        <v>0</v>
      </c>
      <c r="G38" t="s">
        <v>9</v>
      </c>
      <c r="H38">
        <v>0</v>
      </c>
      <c r="I38">
        <v>0</v>
      </c>
      <c r="J38">
        <v>0</v>
      </c>
      <c r="K38">
        <v>0</v>
      </c>
      <c r="L38">
        <v>0</v>
      </c>
      <c r="M38">
        <f>71+0.1</f>
        <v>71.1</v>
      </c>
      <c r="N38">
        <f>71</f>
        <v>71</v>
      </c>
    </row>
    <row r="39" spans="2:14" x14ac:dyDescent="0.25">
      <c r="B39" t="s">
        <v>10</v>
      </c>
      <c r="C39" t="s">
        <v>10</v>
      </c>
      <c r="D39" t="s">
        <v>10</v>
      </c>
      <c r="E39">
        <v>0</v>
      </c>
      <c r="F39">
        <v>0</v>
      </c>
      <c r="G39" t="s">
        <v>10</v>
      </c>
      <c r="H39">
        <v>0</v>
      </c>
      <c r="I39">
        <v>0</v>
      </c>
      <c r="J39">
        <v>0</v>
      </c>
      <c r="K39">
        <v>0</v>
      </c>
      <c r="L39">
        <v>0</v>
      </c>
      <c r="M39">
        <f>71+0.1</f>
        <v>71.1</v>
      </c>
      <c r="N39">
        <f>71</f>
        <v>71</v>
      </c>
    </row>
    <row r="40" spans="2:14" x14ac:dyDescent="0.25">
      <c r="B40" t="s">
        <v>11</v>
      </c>
      <c r="C40" t="s">
        <v>11</v>
      </c>
      <c r="D40" t="s">
        <v>11</v>
      </c>
      <c r="E40">
        <v>0</v>
      </c>
      <c r="F40">
        <v>0</v>
      </c>
      <c r="G40" t="s">
        <v>11</v>
      </c>
      <c r="H40">
        <v>0</v>
      </c>
      <c r="I40">
        <v>0</v>
      </c>
      <c r="J40">
        <v>0</v>
      </c>
      <c r="K40">
        <v>0</v>
      </c>
      <c r="L40">
        <v>0</v>
      </c>
      <c r="M40">
        <f>71+0.1</f>
        <v>71.1</v>
      </c>
      <c r="N40">
        <f>71</f>
        <v>71</v>
      </c>
    </row>
    <row r="41" spans="2:14" x14ac:dyDescent="0.25">
      <c r="B41" t="s">
        <v>12</v>
      </c>
      <c r="C41" t="s">
        <v>12</v>
      </c>
      <c r="D41" t="s">
        <v>12</v>
      </c>
      <c r="E41">
        <v>0</v>
      </c>
      <c r="F41">
        <v>0</v>
      </c>
      <c r="G41" t="s">
        <v>12</v>
      </c>
      <c r="H41">
        <v>0</v>
      </c>
      <c r="I41">
        <v>0</v>
      </c>
      <c r="J41">
        <v>0</v>
      </c>
      <c r="K41">
        <v>0</v>
      </c>
      <c r="L41">
        <v>0</v>
      </c>
      <c r="M41">
        <f>71+0.1</f>
        <v>71.1</v>
      </c>
      <c r="N41">
        <f>71</f>
        <v>71</v>
      </c>
    </row>
    <row r="42" spans="2:14" x14ac:dyDescent="0.25">
      <c r="B42" t="s">
        <v>13</v>
      </c>
      <c r="C42" t="s">
        <v>13</v>
      </c>
      <c r="D42" t="s">
        <v>13</v>
      </c>
      <c r="E42">
        <v>0</v>
      </c>
      <c r="F42">
        <v>0</v>
      </c>
      <c r="G42" t="s">
        <v>13</v>
      </c>
      <c r="H42">
        <v>0</v>
      </c>
      <c r="I42">
        <v>0</v>
      </c>
      <c r="J42">
        <v>0</v>
      </c>
      <c r="K42">
        <v>0</v>
      </c>
      <c r="L42">
        <v>0</v>
      </c>
      <c r="M42">
        <f>71+0.1</f>
        <v>71.1</v>
      </c>
      <c r="N42">
        <f>71</f>
        <v>71</v>
      </c>
    </row>
    <row r="43" spans="2:14" x14ac:dyDescent="0.25">
      <c r="B43" t="s">
        <v>14</v>
      </c>
      <c r="C43" t="s">
        <v>14</v>
      </c>
      <c r="D43" t="s">
        <v>14</v>
      </c>
      <c r="E43">
        <v>0</v>
      </c>
      <c r="F43">
        <v>0</v>
      </c>
      <c r="G43" t="s">
        <v>14</v>
      </c>
      <c r="H43">
        <v>0</v>
      </c>
      <c r="I43">
        <v>0</v>
      </c>
      <c r="J43">
        <v>0</v>
      </c>
      <c r="K43">
        <v>0</v>
      </c>
      <c r="L43">
        <v>0</v>
      </c>
      <c r="M43">
        <f>71+0.1</f>
        <v>71.1</v>
      </c>
      <c r="N43">
        <f>71</f>
        <v>71</v>
      </c>
    </row>
    <row r="44" spans="2:14" x14ac:dyDescent="0.25">
      <c r="B44" t="s">
        <v>15</v>
      </c>
      <c r="C44" t="s">
        <v>15</v>
      </c>
      <c r="D44" t="s">
        <v>15</v>
      </c>
      <c r="E44">
        <v>0</v>
      </c>
      <c r="F44">
        <v>0</v>
      </c>
      <c r="G44" t="s">
        <v>15</v>
      </c>
      <c r="H44">
        <v>0</v>
      </c>
      <c r="I44">
        <v>0</v>
      </c>
      <c r="J44">
        <v>0</v>
      </c>
      <c r="K44">
        <v>0</v>
      </c>
      <c r="L44">
        <v>0</v>
      </c>
      <c r="M44">
        <f>71+0.1</f>
        <v>71.1</v>
      </c>
      <c r="N44">
        <f>71</f>
        <v>71</v>
      </c>
    </row>
    <row r="45" spans="2:14" x14ac:dyDescent="0.25">
      <c r="B45" t="s">
        <v>16</v>
      </c>
      <c r="C45" t="s">
        <v>16</v>
      </c>
      <c r="D45" t="s">
        <v>16</v>
      </c>
      <c r="E45">
        <v>0</v>
      </c>
      <c r="F45">
        <v>0</v>
      </c>
      <c r="G45" t="s">
        <v>16</v>
      </c>
      <c r="H45">
        <v>0</v>
      </c>
      <c r="I45">
        <v>0</v>
      </c>
      <c r="J45">
        <v>0</v>
      </c>
      <c r="K45">
        <v>0</v>
      </c>
      <c r="L45">
        <v>0</v>
      </c>
      <c r="M45">
        <f>71+0.1</f>
        <v>71.1</v>
      </c>
      <c r="N45">
        <f>71</f>
        <v>71</v>
      </c>
    </row>
    <row r="46" spans="2:14" x14ac:dyDescent="0.25">
      <c r="B46" t="s">
        <v>17</v>
      </c>
      <c r="C46" t="s">
        <v>17</v>
      </c>
      <c r="D46" t="s">
        <v>17</v>
      </c>
      <c r="E46">
        <v>0</v>
      </c>
      <c r="F46">
        <v>0</v>
      </c>
      <c r="G46" t="s">
        <v>17</v>
      </c>
      <c r="H46">
        <v>0</v>
      </c>
      <c r="I46">
        <v>0</v>
      </c>
      <c r="J46">
        <v>0</v>
      </c>
      <c r="K46">
        <v>0</v>
      </c>
      <c r="L46">
        <v>0</v>
      </c>
      <c r="M46">
        <f>71+0.1</f>
        <v>71.1</v>
      </c>
      <c r="N46">
        <f>71</f>
        <v>71</v>
      </c>
    </row>
    <row r="47" spans="13:14" x14ac:dyDescent="0.25">
      <c r="M47">
        <f>711</f>
        <v>711</v>
      </c>
      <c r="N47">
        <f>710</f>
        <v>710</v>
      </c>
    </row>
    <row r="49" spans="13:13" x14ac:dyDescent="0.25">
      <c r="M49">
        <f>290</f>
        <v>290</v>
      </c>
    </row>
    <row r="51" spans="2:13" x14ac:dyDescent="0.25">
      <c r="B51">
        <f>0.9</f>
        <v>0.9</v>
      </c>
      <c r="E51">
        <f>0.89</f>
        <v>0.89</v>
      </c>
      <c r="M51" t="s">
        <v>30</v>
      </c>
    </row>
    <row r="54" spans="4:4" x14ac:dyDescent="0.25">
      <c r="D54" t="s">
        <v>31</v>
      </c>
    </row>
    <row r="55" spans="4:4" x14ac:dyDescent="0.25">
      <c r="D55" t="s">
        <v>32</v>
      </c>
    </row>
    <row r="56" spans="4:4" x14ac:dyDescent="0.25">
      <c r="D56" t="s">
        <v>33</v>
      </c>
    </row>
    <row r="58" spans="4:4" x14ac:dyDescent="0.25">
      <c r="D5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F33"/>
  <sheetFormatPr defaultRowHeight="15" outlineLevelRow="0" outlineLevelCol="0" x14ac:dyDescent="55"/>
  <sheetData>
    <row r="15" spans="1:1" x14ac:dyDescent="0.25">
      <c r="A15" t="s">
        <v>35</v>
      </c>
    </row>
    <row r="16" spans="1:5" x14ac:dyDescent="0.25">
      <c r="A16" t="s">
        <v>36</v>
      </c>
      <c r="D16" t="s">
        <v>32</v>
      </c>
      <c r="E16" t="s">
        <v>37</v>
      </c>
    </row>
    <row r="18" spans="1:6" x14ac:dyDescent="0.25">
      <c r="A18" t="s">
        <v>38</v>
      </c>
      <c r="D18" t="s">
        <v>32</v>
      </c>
      <c r="E18" t="s">
        <v>39</v>
      </c>
      <c r="F18" t="s">
        <v>39</v>
      </c>
    </row>
    <row r="19" spans="1:6" x14ac:dyDescent="0.25">
      <c r="A19" t="s">
        <v>40</v>
      </c>
      <c r="D19" t="s">
        <v>32</v>
      </c>
      <c r="E19" t="s">
        <v>39</v>
      </c>
      <c r="F19" t="s">
        <v>39</v>
      </c>
    </row>
    <row r="20" spans="1:6" x14ac:dyDescent="0.25">
      <c r="A20" t="s">
        <v>41</v>
      </c>
      <c r="D20" t="s">
        <v>32</v>
      </c>
      <c r="E20" t="s">
        <v>42</v>
      </c>
      <c r="F20" t="s">
        <v>43</v>
      </c>
    </row>
    <row r="22" spans="1:6" x14ac:dyDescent="0.25">
      <c r="A22" t="s">
        <v>44</v>
      </c>
      <c r="D22" t="s">
        <v>32</v>
      </c>
      <c r="E22" t="s">
        <v>39</v>
      </c>
      <c r="F22" t="s">
        <v>39</v>
      </c>
    </row>
    <row r="24" spans="1:6" x14ac:dyDescent="0.25">
      <c r="A24" t="s">
        <v>45</v>
      </c>
      <c r="D24" t="s">
        <v>32</v>
      </c>
      <c r="E24" t="s">
        <v>46</v>
      </c>
      <c r="F24" t="s">
        <v>39</v>
      </c>
    </row>
    <row r="26" spans="1:6" x14ac:dyDescent="0.25">
      <c r="A26" t="s">
        <v>47</v>
      </c>
      <c r="D26" t="s">
        <v>32</v>
      </c>
      <c r="E26" t="s">
        <v>39</v>
      </c>
      <c r="F26" t="s">
        <v>39</v>
      </c>
    </row>
    <row r="27" spans="1:6" x14ac:dyDescent="0.25">
      <c r="A27" t="s">
        <v>48</v>
      </c>
      <c r="D27" t="s">
        <v>32</v>
      </c>
      <c r="E27" t="s">
        <v>49</v>
      </c>
      <c r="F27" t="s">
        <v>39</v>
      </c>
    </row>
    <row r="28" spans="1:6" x14ac:dyDescent="0.25">
      <c r="A28" t="s">
        <v>50</v>
      </c>
      <c r="D28" t="s">
        <v>32</v>
      </c>
      <c r="E28" t="s">
        <v>51</v>
      </c>
      <c r="F28" t="s">
        <v>39</v>
      </c>
    </row>
    <row r="32" spans="1:6" x14ac:dyDescent="0.25">
      <c r="A32" t="s">
        <v>52</v>
      </c>
      <c r="D32" t="s">
        <v>32</v>
      </c>
      <c r="E32" t="s">
        <v>39</v>
      </c>
      <c r="F32" t="s">
        <v>39</v>
      </c>
    </row>
    <row r="33" spans="1:1" x14ac:dyDescent="0.25">
      <c r="A3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1:F30"/>
  <sheetFormatPr defaultRowHeight="15" outlineLevelRow="0" outlineLevelCol="0" x14ac:dyDescent="55"/>
  <sheetData>
    <row r="21" spans="4:4" x14ac:dyDescent="0.25">
      <c r="D21" t="s">
        <v>54</v>
      </c>
    </row>
    <row r="22" spans="4:4" x14ac:dyDescent="0.25">
      <c r="D22" t="s">
        <v>55</v>
      </c>
    </row>
    <row r="23" spans="4:6" x14ac:dyDescent="0.25">
      <c r="D23" t="s">
        <v>56</v>
      </c>
      <c r="F23" t="s">
        <v>57</v>
      </c>
    </row>
    <row r="24" spans="4:6" x14ac:dyDescent="0.25">
      <c r="D24" t="s">
        <v>58</v>
      </c>
      <c r="F24" t="s">
        <v>59</v>
      </c>
    </row>
    <row r="26" spans="4:6" x14ac:dyDescent="0.25">
      <c r="D26" t="s">
        <v>60</v>
      </c>
      <c r="F26" t="s">
        <v>61</v>
      </c>
    </row>
    <row r="27" spans="4:6" x14ac:dyDescent="0.25">
      <c r="D27" t="s">
        <v>62</v>
      </c>
      <c r="F27" t="s">
        <v>63</v>
      </c>
    </row>
    <row r="28" spans="4:6" x14ac:dyDescent="0.25">
      <c r="D28" t="s">
        <v>64</v>
      </c>
      <c r="F28" t="s">
        <v>65</v>
      </c>
    </row>
    <row r="29" spans="4:6" x14ac:dyDescent="0.25">
      <c r="D29" t="s">
        <v>66</v>
      </c>
      <c r="F29" t="s">
        <v>67</v>
      </c>
    </row>
    <row r="30" spans="4:6" x14ac:dyDescent="0.25">
      <c r="D30" t="s">
        <v>68</v>
      </c>
      <c r="F30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Vessel Ullage</vt:lpstr>
      <vt:lpstr>Sounding Barge</vt:lpstr>
      <vt:lpstr>Time Log</vt:lpstr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Naabsa synthetic tests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