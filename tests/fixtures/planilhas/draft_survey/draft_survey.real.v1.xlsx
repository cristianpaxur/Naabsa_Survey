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2982" documentId="13_ncr:1_{FCB5462C-700A-4FA2-90CC-932488FAE97F}" xr6:coauthVersionLast="47" xr6:coauthVersionMax="47" xr10:uidLastSave="{114FF27F-865C-4293-936B-D8025BF46E19}"/>
  <workbookProtection workbookAlgorithmName="SHA-512" workbookHashValue="fdn4OK1ZPZg8wqNuIaE12M0m6JH8boABM/KVw1R+CXbLqVWoiHBOvJ59/Q/MV6ee2Px56D7AmGue6UhTGIG+KQ==" workbookSaltValue="/4TU2HFlO9tOxA4q2zV06w==" workbookSpinCount="100000" lockStructure="1"/>
  <bookViews>
    <workbookView xWindow="43080" yWindow="-120" windowWidth="29040" windowHeight="15720" tabRatio="685" activeTab="4" xr2:uid="{00000000-000D-0000-FFFF-FFFF00000000}"/>
  </bookViews>
  <sheets>
    <sheet name="Capa" sheetId="14" r:id="rId1"/>
    <sheet name="Inicial" sheetId="1" r:id="rId2"/>
    <sheet name="Intermediario" sheetId="6" r:id="rId3"/>
    <sheet name="final" sheetId="2" r:id="rId4"/>
    <sheet name="DS INTERMEDIATE" sheetId="12" r:id="rId5"/>
    <sheet name="DS FINAL" sheetId="13" r:id="rId6"/>
    <sheet name="LOD-LOP" sheetId="11" r:id="rId7"/>
  </sheets>
  <definedNames>
    <definedName name="_xlnm.Print_Area" localSheetId="5">'DS FINAL'!$A$1:$L$52</definedName>
    <definedName name="_xlnm.Print_Area" localSheetId="4">'DS INTERMEDIATE'!$A$1:$L$55</definedName>
    <definedName name="_xlnm.Print_Area" localSheetId="3">final!$B$3:$O$52</definedName>
    <definedName name="_xlnm.Print_Area" localSheetId="1">Inicial!$B$2:$O$53</definedName>
    <definedName name="_xlnm.Print_Area" localSheetId="2">Intermediario!$B$2:$O$49</definedName>
    <definedName name="_xlnm.Print_Area" localSheetId="6">'LOD-LOP'!$A$1:$N$41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2" l="1"/>
  <c r="V4" i="1"/>
  <c r="I45" i="12"/>
  <c r="U5" i="1"/>
  <c r="K4" i="13"/>
  <c r="K15" i="1"/>
  <c r="K17" i="6"/>
  <c r="AB7" i="1" l="1"/>
  <c r="AB8" i="1"/>
  <c r="C3" i="1"/>
  <c r="G3" i="1"/>
  <c r="C4" i="1"/>
  <c r="G4" i="1"/>
  <c r="AB4" i="1"/>
  <c r="C5" i="1"/>
  <c r="G5" i="1"/>
  <c r="V5" i="1"/>
  <c r="AA5" i="1"/>
  <c r="AB5" i="1"/>
  <c r="C6" i="1"/>
  <c r="U6" i="1"/>
  <c r="AA6" i="1"/>
  <c r="AB6" i="1"/>
  <c r="D10" i="1"/>
  <c r="D11" i="1"/>
  <c r="D12" i="1"/>
  <c r="AA17" i="1"/>
  <c r="D19" i="1"/>
  <c r="D20" i="1" s="1"/>
  <c r="V19" i="1"/>
  <c r="U20" i="1"/>
  <c r="V20" i="1" s="1"/>
  <c r="D21" i="1"/>
  <c r="Z24" i="1" s="1"/>
  <c r="Y25" i="1" s="1"/>
  <c r="V21" i="1"/>
  <c r="V22" i="1"/>
  <c r="V23" i="1"/>
  <c r="I24" i="1"/>
  <c r="V24" i="1"/>
  <c r="V25" i="1"/>
  <c r="B28" i="1"/>
  <c r="F28" i="1"/>
  <c r="B29" i="1"/>
  <c r="F29" i="1"/>
  <c r="L29" i="1"/>
  <c r="T31" i="1"/>
  <c r="Y33" i="1"/>
  <c r="U34" i="1"/>
  <c r="Y34" i="1"/>
  <c r="C35" i="1"/>
  <c r="C36" i="1"/>
  <c r="K17" i="2"/>
  <c r="J8" i="11"/>
  <c r="B21" i="11"/>
  <c r="B13" i="11"/>
  <c r="B16" i="11"/>
  <c r="B8" i="11"/>
  <c r="J5" i="11"/>
  <c r="K4" i="11"/>
  <c r="Y35" i="1" l="1"/>
  <c r="Z35" i="1" s="1"/>
  <c r="AA30" i="1" s="1"/>
  <c r="V6" i="1"/>
  <c r="U7" i="1"/>
  <c r="U8" i="1" s="1"/>
  <c r="V8" i="1" s="1"/>
  <c r="AB9" i="1"/>
  <c r="AA19" i="1" s="1"/>
  <c r="K24" i="1"/>
  <c r="D15" i="1"/>
  <c r="B38" i="13"/>
  <c r="B38" i="12"/>
  <c r="B37" i="13"/>
  <c r="B37" i="12"/>
  <c r="C7" i="11"/>
  <c r="C5" i="11"/>
  <c r="B15" i="11"/>
  <c r="I40" i="11"/>
  <c r="I44" i="13"/>
  <c r="N8" i="14"/>
  <c r="M8" i="14"/>
  <c r="I5" i="13"/>
  <c r="C8" i="13"/>
  <c r="C7" i="13"/>
  <c r="C6" i="13"/>
  <c r="C5" i="13"/>
  <c r="C8" i="12"/>
  <c r="K4" i="12"/>
  <c r="I5" i="12"/>
  <c r="C7" i="12"/>
  <c r="C5" i="12"/>
  <c r="J12" i="12"/>
  <c r="C4" i="2"/>
  <c r="U5" i="2"/>
  <c r="U6" i="2" s="1"/>
  <c r="U7" i="2" s="1"/>
  <c r="U8" i="2" s="1"/>
  <c r="U9" i="2" s="1"/>
  <c r="U10" i="2" s="1"/>
  <c r="U11" i="2" s="1"/>
  <c r="U12" i="2" s="1"/>
  <c r="U13" i="2" s="1"/>
  <c r="C4" i="6"/>
  <c r="L8" i="14" a="1"/>
  <c r="L8" i="14" s="1"/>
  <c r="I11" i="12" s="1"/>
  <c r="L9" i="14" a="1"/>
  <c r="L9" i="14" s="1"/>
  <c r="D12" i="12"/>
  <c r="C12" i="12"/>
  <c r="L7" i="14" a="1"/>
  <c r="L7" i="14" s="1"/>
  <c r="C11" i="13" s="1"/>
  <c r="I38" i="13"/>
  <c r="N7" i="14"/>
  <c r="D12" i="13" s="1"/>
  <c r="N9" i="14"/>
  <c r="J12" i="13" s="1"/>
  <c r="M9" i="14"/>
  <c r="I12" i="13" s="1"/>
  <c r="M7" i="14"/>
  <c r="C12" i="13" s="1"/>
  <c r="Y36" i="1" l="1"/>
  <c r="Y30" i="1" s="1"/>
  <c r="U9" i="1"/>
  <c r="U10" i="1" s="1"/>
  <c r="V7" i="1"/>
  <c r="F10" i="1"/>
  <c r="H10" i="1" s="1"/>
  <c r="F11" i="1"/>
  <c r="F12" i="1"/>
  <c r="H12" i="1" s="1"/>
  <c r="M24" i="1"/>
  <c r="M25" i="1"/>
  <c r="I11" i="13"/>
  <c r="B10" i="11"/>
  <c r="C11" i="12"/>
  <c r="U14" i="2"/>
  <c r="Q24" i="2"/>
  <c r="Q25" i="2"/>
  <c r="Q26" i="2"/>
  <c r="Q27" i="2"/>
  <c r="Q28" i="2"/>
  <c r="Q29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I14" i="13"/>
  <c r="K14" i="13" s="1"/>
  <c r="C14" i="13"/>
  <c r="E14" i="13" s="1"/>
  <c r="I13" i="13"/>
  <c r="K13" i="13" s="1"/>
  <c r="J7" i="11"/>
  <c r="J6" i="11"/>
  <c r="C6" i="11"/>
  <c r="I8" i="12"/>
  <c r="I7" i="12"/>
  <c r="I6" i="12"/>
  <c r="C6" i="12"/>
  <c r="I8" i="13"/>
  <c r="I7" i="13"/>
  <c r="I6" i="13"/>
  <c r="D9" i="2"/>
  <c r="D10" i="2"/>
  <c r="C13" i="12"/>
  <c r="E13" i="12" s="1"/>
  <c r="C13" i="13"/>
  <c r="E13" i="13" s="1"/>
  <c r="AC9" i="6"/>
  <c r="AB19" i="6" s="1"/>
  <c r="D18" i="2"/>
  <c r="I14" i="12"/>
  <c r="K14" i="12" s="1"/>
  <c r="I13" i="12"/>
  <c r="K13" i="12" s="1"/>
  <c r="C14" i="12"/>
  <c r="E14" i="12"/>
  <c r="U30" i="6"/>
  <c r="T30" i="2"/>
  <c r="X5" i="2"/>
  <c r="X6" i="2"/>
  <c r="D19" i="2"/>
  <c r="Z23" i="2" s="1"/>
  <c r="Y24" i="2" s="1"/>
  <c r="D19" i="6"/>
  <c r="AA23" i="6" s="1"/>
  <c r="Z24" i="6" s="1"/>
  <c r="S26" i="6"/>
  <c r="S27" i="6"/>
  <c r="S28" i="6"/>
  <c r="S29" i="6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4" i="2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4" i="6"/>
  <c r="C8" i="11"/>
  <c r="B23" i="13"/>
  <c r="H23" i="13"/>
  <c r="B23" i="12"/>
  <c r="C37" i="12"/>
  <c r="H23" i="12"/>
  <c r="I12" i="12"/>
  <c r="Y35" i="2"/>
  <c r="Y32" i="2"/>
  <c r="Y31" i="2"/>
  <c r="Y35" i="6"/>
  <c r="D9" i="6"/>
  <c r="Y32" i="6"/>
  <c r="Y31" i="6"/>
  <c r="V8" i="2"/>
  <c r="V5" i="6"/>
  <c r="W5" i="6" s="1"/>
  <c r="O17" i="2"/>
  <c r="F21" i="11" s="1"/>
  <c r="Y4" i="6"/>
  <c r="O17" i="6"/>
  <c r="D11" i="2"/>
  <c r="I23" i="2"/>
  <c r="B27" i="2"/>
  <c r="F27" i="2"/>
  <c r="B28" i="2"/>
  <c r="F28" i="2"/>
  <c r="X4" i="2"/>
  <c r="AB4" i="2"/>
  <c r="AB5" i="2"/>
  <c r="AB6" i="2"/>
  <c r="O15" i="2"/>
  <c r="D10" i="6"/>
  <c r="D11" i="6"/>
  <c r="D18" i="6"/>
  <c r="D20" i="6" s="1"/>
  <c r="I23" i="6"/>
  <c r="B27" i="6"/>
  <c r="F27" i="6"/>
  <c r="B28" i="6"/>
  <c r="F28" i="6"/>
  <c r="AC4" i="6"/>
  <c r="Y5" i="6"/>
  <c r="AC5" i="6"/>
  <c r="Y6" i="6"/>
  <c r="AC6" i="6"/>
  <c r="O15" i="6"/>
  <c r="AB17" i="6"/>
  <c r="V5" i="2"/>
  <c r="V4" i="2"/>
  <c r="W4" i="6"/>
  <c r="AA17" i="2"/>
  <c r="Y36" i="2"/>
  <c r="U15" i="2" l="1"/>
  <c r="U16" i="2" s="1"/>
  <c r="U17" i="2" s="1"/>
  <c r="U18" i="2" s="1"/>
  <c r="U19" i="2" s="1"/>
  <c r="U20" i="2" s="1"/>
  <c r="U21" i="2" s="1"/>
  <c r="U22" i="2" s="1"/>
  <c r="U23" i="2" s="1"/>
  <c r="U24" i="2" s="1"/>
  <c r="V9" i="1"/>
  <c r="V10" i="1"/>
  <c r="U11" i="1"/>
  <c r="G15" i="1"/>
  <c r="C13" i="1"/>
  <c r="D35" i="1"/>
  <c r="F35" i="1" s="1"/>
  <c r="D36" i="1"/>
  <c r="F36" i="1" s="1"/>
  <c r="H11" i="1"/>
  <c r="V6" i="6"/>
  <c r="V7" i="6" s="1"/>
  <c r="V8" i="6" s="1"/>
  <c r="D20" i="2"/>
  <c r="K24" i="2"/>
  <c r="W7" i="6"/>
  <c r="W6" i="6"/>
  <c r="B40" i="11"/>
  <c r="K24" i="6"/>
  <c r="M25" i="6" s="1"/>
  <c r="D14" i="6"/>
  <c r="Y33" i="6"/>
  <c r="Z32" i="6" s="1"/>
  <c r="Z29" i="6" s="1"/>
  <c r="V6" i="2"/>
  <c r="V7" i="2"/>
  <c r="C37" i="13"/>
  <c r="D14" i="2"/>
  <c r="AB9" i="2"/>
  <c r="AA19" i="2" s="1"/>
  <c r="Y37" i="2"/>
  <c r="Y33" i="2"/>
  <c r="Z32" i="2" s="1"/>
  <c r="Y29" i="2" s="1"/>
  <c r="U25" i="2" l="1"/>
  <c r="V24" i="2"/>
  <c r="G17" i="1"/>
  <c r="G18" i="1" s="1"/>
  <c r="H13" i="1"/>
  <c r="B26" i="1" s="1"/>
  <c r="Z28" i="1"/>
  <c r="AA33" i="1" s="1"/>
  <c r="AA34" i="1" s="1"/>
  <c r="AA35" i="1" s="1"/>
  <c r="Z30" i="1" s="1"/>
  <c r="V11" i="1"/>
  <c r="U12" i="1"/>
  <c r="F11" i="2"/>
  <c r="H11" i="2" s="1"/>
  <c r="M24" i="6"/>
  <c r="W8" i="6"/>
  <c r="V9" i="6"/>
  <c r="AB32" i="6"/>
  <c r="AB29" i="6" s="1"/>
  <c r="M25" i="2"/>
  <c r="F11" i="6"/>
  <c r="H11" i="6" s="1"/>
  <c r="F10" i="6"/>
  <c r="F9" i="6"/>
  <c r="H9" i="6" s="1"/>
  <c r="F10" i="2"/>
  <c r="H10" i="2" s="1"/>
  <c r="F9" i="2"/>
  <c r="H9" i="2" s="1"/>
  <c r="AB32" i="2"/>
  <c r="AA29" i="2" s="1"/>
  <c r="Z36" i="2" s="1"/>
  <c r="Z29" i="2" s="1"/>
  <c r="V9" i="2"/>
  <c r="U26" i="2" l="1"/>
  <c r="V25" i="2"/>
  <c r="U13" i="1"/>
  <c r="V12" i="1"/>
  <c r="I25" i="1"/>
  <c r="I26" i="1" s="1"/>
  <c r="B30" i="1"/>
  <c r="F30" i="1"/>
  <c r="C12" i="2"/>
  <c r="H12" i="2" s="1"/>
  <c r="B25" i="2" s="1"/>
  <c r="I24" i="2" s="1"/>
  <c r="I25" i="2" s="1"/>
  <c r="G14" i="2"/>
  <c r="V10" i="6"/>
  <c r="W9" i="6"/>
  <c r="M24" i="2"/>
  <c r="H10" i="6"/>
  <c r="C12" i="6"/>
  <c r="G14" i="6"/>
  <c r="V10" i="2"/>
  <c r="U27" i="2" l="1"/>
  <c r="V26" i="2"/>
  <c r="G16" i="6"/>
  <c r="G16" i="2"/>
  <c r="G17" i="2" s="1"/>
  <c r="F26" i="1"/>
  <c r="G26" i="1"/>
  <c r="C30" i="1"/>
  <c r="G30" i="1"/>
  <c r="C26" i="1"/>
  <c r="V13" i="1"/>
  <c r="U14" i="1"/>
  <c r="B17" i="13"/>
  <c r="B17" i="12"/>
  <c r="W10" i="6"/>
  <c r="V11" i="6"/>
  <c r="H17" i="13"/>
  <c r="B29" i="2"/>
  <c r="F29" i="2"/>
  <c r="AA27" i="6"/>
  <c r="Y36" i="6" s="1"/>
  <c r="Y37" i="6" s="1"/>
  <c r="Z36" i="6" s="1"/>
  <c r="AA29" i="6" s="1"/>
  <c r="H12" i="6"/>
  <c r="B25" i="6" s="1"/>
  <c r="C25" i="2"/>
  <c r="G25" i="2"/>
  <c r="G29" i="2"/>
  <c r="F25" i="2"/>
  <c r="C29" i="2"/>
  <c r="V11" i="2"/>
  <c r="V27" i="2" l="1"/>
  <c r="U28" i="2"/>
  <c r="F31" i="1"/>
  <c r="N6" i="1" s="1"/>
  <c r="N4" i="1"/>
  <c r="U15" i="1"/>
  <c r="V14" i="1"/>
  <c r="B20" i="13"/>
  <c r="G17" i="6"/>
  <c r="V12" i="6"/>
  <c r="W11" i="6"/>
  <c r="H17" i="12"/>
  <c r="F29" i="6"/>
  <c r="B29" i="6"/>
  <c r="I24" i="6"/>
  <c r="I25" i="6" s="1"/>
  <c r="O4" i="2"/>
  <c r="F30" i="2"/>
  <c r="O6" i="2" s="1"/>
  <c r="H20" i="13"/>
  <c r="V12" i="2"/>
  <c r="U29" i="2" l="1"/>
  <c r="V29" i="2" s="1"/>
  <c r="V28" i="2"/>
  <c r="N8" i="1"/>
  <c r="N13" i="1" s="1"/>
  <c r="B26" i="12" s="1"/>
  <c r="V15" i="1"/>
  <c r="U16" i="1"/>
  <c r="B20" i="12"/>
  <c r="W12" i="6"/>
  <c r="V13" i="6"/>
  <c r="C29" i="6"/>
  <c r="G29" i="6"/>
  <c r="C25" i="6"/>
  <c r="G25" i="6"/>
  <c r="F25" i="6"/>
  <c r="O8" i="2"/>
  <c r="O11" i="2" s="1"/>
  <c r="H26" i="13" s="1"/>
  <c r="V13" i="2"/>
  <c r="V16" i="1" l="1"/>
  <c r="U17" i="1"/>
  <c r="W13" i="6"/>
  <c r="V14" i="6"/>
  <c r="F30" i="6"/>
  <c r="O6" i="6" s="1"/>
  <c r="B26" i="13"/>
  <c r="O4" i="6"/>
  <c r="H20" i="12"/>
  <c r="V14" i="2"/>
  <c r="V17" i="1" l="1"/>
  <c r="U18" i="1"/>
  <c r="V18" i="1" s="1"/>
  <c r="W14" i="6"/>
  <c r="V15" i="6"/>
  <c r="O8" i="6"/>
  <c r="O11" i="6" s="1"/>
  <c r="H26" i="12" s="1"/>
  <c r="V31" i="1" l="1"/>
  <c r="AA18" i="1" s="1"/>
  <c r="AA21" i="1" s="1"/>
  <c r="N16" i="1" s="1"/>
  <c r="O21" i="1" s="1"/>
  <c r="W15" i="6"/>
  <c r="V16" i="6"/>
  <c r="V16" i="2"/>
  <c r="N17" i="1" l="1"/>
  <c r="V17" i="6"/>
  <c r="W16" i="6"/>
  <c r="V17" i="2"/>
  <c r="B32" i="13" l="1"/>
  <c r="V18" i="6"/>
  <c r="W17" i="6"/>
  <c r="V18" i="2"/>
  <c r="B32" i="12" l="1"/>
  <c r="W18" i="6"/>
  <c r="V19" i="6"/>
  <c r="B35" i="13"/>
  <c r="B35" i="12"/>
  <c r="B29" i="13"/>
  <c r="B29" i="12"/>
  <c r="V19" i="2"/>
  <c r="W19" i="6" l="1"/>
  <c r="V20" i="6"/>
  <c r="V20" i="2"/>
  <c r="V21" i="6" l="1"/>
  <c r="W20" i="6"/>
  <c r="V21" i="2"/>
  <c r="W21" i="6" l="1"/>
  <c r="V22" i="6"/>
  <c r="V22" i="2"/>
  <c r="V23" i="6" l="1"/>
  <c r="W22" i="6"/>
  <c r="V23" i="2"/>
  <c r="V24" i="6" l="1"/>
  <c r="W23" i="6"/>
  <c r="V30" i="2"/>
  <c r="AA18" i="2" s="1"/>
  <c r="AA21" i="2" s="1"/>
  <c r="O13" i="2" s="1"/>
  <c r="W24" i="6" l="1"/>
  <c r="V25" i="6"/>
  <c r="O14" i="2"/>
  <c r="O19" i="2" s="1"/>
  <c r="H32" i="13"/>
  <c r="V26" i="6" l="1"/>
  <c r="W25" i="6"/>
  <c r="H29" i="13"/>
  <c r="V27" i="6" l="1"/>
  <c r="W26" i="6"/>
  <c r="F22" i="11"/>
  <c r="H35" i="13"/>
  <c r="O20" i="2"/>
  <c r="C38" i="13"/>
  <c r="W27" i="6" l="1"/>
  <c r="V28" i="6"/>
  <c r="F23" i="11"/>
  <c r="C39" i="13"/>
  <c r="O21" i="2"/>
  <c r="F24" i="11" s="1"/>
  <c r="B4" i="11" s="1"/>
  <c r="W28" i="6" l="1"/>
  <c r="V29" i="6"/>
  <c r="W29" i="6" s="1"/>
  <c r="W30" i="6" s="1"/>
  <c r="AB18" i="6" s="1"/>
  <c r="AB21" i="6" s="1"/>
  <c r="O13" i="6" s="1"/>
  <c r="O14" i="6" s="1"/>
  <c r="O19" i="6" s="1"/>
  <c r="C40" i="13"/>
  <c r="H35" i="12" l="1"/>
  <c r="H32" i="12"/>
  <c r="H29" i="12" l="1"/>
  <c r="C38" i="12" l="1"/>
  <c r="C39" i="12" s="1"/>
  <c r="C40" i="12" s="1"/>
  <c r="O20" i="6"/>
  <c r="O2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Y28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TRIM (INTERVALO INFERIOR)</t>
        </r>
      </text>
    </comment>
    <comment ref="AA28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TRIM 9INTERVALO SUPERIOR)</t>
        </r>
      </text>
    </comment>
    <comment ref="Y29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INFERIOR</t>
        </r>
      </text>
    </comment>
    <comment ref="AA29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INFERIOR</t>
        </r>
      </text>
    </comment>
    <comment ref="Y3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SUPERIOR</t>
        </r>
      </text>
    </comment>
    <comment ref="AA31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SUPERIOR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Z27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TRIM (INTERVALO INFERIOR)</t>
        </r>
      </text>
    </comment>
    <comment ref="AB27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TRIM 9INTERVALO SUPERIOR)</t>
        </r>
      </text>
    </comment>
    <comment ref="Z28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INFERIOR</t>
        </r>
      </text>
    </comment>
    <comment ref="AB28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INFERIOR</t>
        </r>
      </text>
    </comment>
    <comment ref="Z30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SUPERIOR</t>
        </r>
      </text>
    </comment>
    <comment ref="AB30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SUPERIOR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Y2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TRIM (INTERVALO INFERIOR)</t>
        </r>
      </text>
    </comment>
    <comment ref="AA27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TRIM 9INTERVALO SUPERIOR)</t>
        </r>
      </text>
    </comment>
    <comment ref="Y28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INFERIOR</t>
        </r>
      </text>
    </comment>
    <comment ref="AA28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INFERIOR</t>
        </r>
      </text>
    </comment>
    <comment ref="Y30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SUPERIOR</t>
        </r>
      </text>
    </comment>
    <comment ref="AA30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SONDAGEM SUPERIOR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3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0 - 5cm: Flat
5 -10cm: Calm
10 - 25cm: Moderate
&gt;25cm: Rough</t>
        </r>
      </text>
    </comment>
    <comment ref="H13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0 - 5cm: Flat
5 -10cm: Calm
10 - 25cm: Moderate
&gt;25cm: Rough</t>
        </r>
      </text>
    </comment>
    <comment ref="D14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Low
Intermediate
High</t>
        </r>
      </text>
    </comment>
    <comment ref="J14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Low
Intermediate
High</t>
        </r>
      </text>
    </comment>
    <comment ref="D50" authorId="0" shapeId="0" xr:uid="{286EF0D1-B0C7-4EEE-B02A-9D6FDD9DAAA4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Nome da Controladora: SGS, Intertek, RRMG...</t>
        </r>
      </text>
    </comment>
    <comment ref="F50" authorId="0" shapeId="0" xr:uid="{3321C11A-B6A4-4E88-B90C-73238A5060FE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Sucden, Wilmar...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3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0 - 5cm: Flat
5 -10cm: Calm
10 - 25cm: Moderate
&gt;25cm: Rough</t>
        </r>
      </text>
    </comment>
    <comment ref="H13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0 - 5cm: Flat
5 -10cm: Calm
10 - 25cm: Moderate
&gt;25cm: Rough</t>
        </r>
      </text>
    </comment>
    <comment ref="D14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Low
Intermediate
High</t>
        </r>
      </text>
    </comment>
    <comment ref="J14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Low
Intermediate
High</t>
        </r>
      </text>
    </comment>
    <comment ref="D48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Nome da Controladora: SGS, Intertek, RRMG...</t>
        </r>
      </text>
    </comment>
    <comment ref="F48" authorId="0" shapeId="0" xr:uid="{00000000-0006-0000-0300-000007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Sucden, Wilmar...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<sst xmlns="http://schemas.openxmlformats.org/spreadsheetml/2006/main" count="514" uniqueCount="235">
  <si>
    <t xml:space="preserve">INITIAL DRAFT SURVEY </t>
  </si>
  <si>
    <t xml:space="preserve"> DISPLACEMENT CORRECTIONS</t>
  </si>
  <si>
    <t>BALLAST WATER</t>
  </si>
  <si>
    <t>FRESH WATER</t>
  </si>
  <si>
    <t>SHED</t>
  </si>
  <si>
    <t>Tank</t>
  </si>
  <si>
    <t>m</t>
  </si>
  <si>
    <t>m3</t>
  </si>
  <si>
    <t>SG</t>
  </si>
  <si>
    <t>MT</t>
  </si>
  <si>
    <t>VOYAGE</t>
  </si>
  <si>
    <t>TERMINAL</t>
  </si>
  <si>
    <t>1° TRIM Correction</t>
  </si>
  <si>
    <t>FPT</t>
  </si>
  <si>
    <t>FW P</t>
  </si>
  <si>
    <t>VESSEL</t>
  </si>
  <si>
    <t>PORT</t>
  </si>
  <si>
    <t>FW S</t>
  </si>
  <si>
    <t>DATE</t>
  </si>
  <si>
    <t>TIME</t>
  </si>
  <si>
    <t>2° TRIM Correction</t>
  </si>
  <si>
    <t>CARGO</t>
  </si>
  <si>
    <t>IMO</t>
  </si>
  <si>
    <t>DRAFT MARKS</t>
  </si>
  <si>
    <t>MEAN</t>
  </si>
  <si>
    <t>DRAFT MARKS CORRECTIONS</t>
  </si>
  <si>
    <t>MEAN CORRECTED</t>
  </si>
  <si>
    <t>Displ. Corrected by TRIM</t>
  </si>
  <si>
    <t>PS</t>
  </si>
  <si>
    <t>SS</t>
  </si>
  <si>
    <t>Density Observed</t>
  </si>
  <si>
    <t>Certificate/Obs</t>
  </si>
  <si>
    <t>BUNKER AND OTHERS</t>
  </si>
  <si>
    <t>FUEL OIL</t>
  </si>
  <si>
    <t>M</t>
  </si>
  <si>
    <t>MM</t>
  </si>
  <si>
    <t>Displ. Corrected  by Density</t>
  </si>
  <si>
    <t>DIESEL OIL</t>
  </si>
  <si>
    <t>LUB OIL</t>
  </si>
  <si>
    <t>TRIM Observed</t>
  </si>
  <si>
    <t>TRIM Real</t>
  </si>
  <si>
    <t>OTHERS</t>
  </si>
  <si>
    <t>Perpendic. Corrections</t>
  </si>
  <si>
    <t>FWD</t>
  </si>
  <si>
    <t>δ d</t>
  </si>
  <si>
    <t>Total of Deductibles</t>
  </si>
  <si>
    <t>MID</t>
  </si>
  <si>
    <t>NET Displacement</t>
  </si>
  <si>
    <t>TOTAL BUNKER</t>
  </si>
  <si>
    <t>AFT</t>
  </si>
  <si>
    <t>Light Ship</t>
  </si>
  <si>
    <t xml:space="preserve">TOTAL BALLAST </t>
  </si>
  <si>
    <t>LBP</t>
  </si>
  <si>
    <t>Cargo in transit</t>
  </si>
  <si>
    <t>TOTAL FRESH WATER</t>
  </si>
  <si>
    <t>LBD</t>
  </si>
  <si>
    <t>TIDE (m)</t>
  </si>
  <si>
    <t>BREATH</t>
  </si>
  <si>
    <t>SWELL (cm)</t>
  </si>
  <si>
    <t>Constant Declared</t>
  </si>
  <si>
    <t>Ctt. Obs</t>
  </si>
  <si>
    <t>TOTAL DEDUCTIBLES</t>
  </si>
  <si>
    <t>QM</t>
  </si>
  <si>
    <t>Displacement</t>
  </si>
  <si>
    <t>TPC</t>
  </si>
  <si>
    <t>LCF</t>
  </si>
  <si>
    <t>LCA/LCF</t>
  </si>
  <si>
    <t>Keel</t>
  </si>
  <si>
    <t xml:space="preserve"> INTERPOLATION</t>
  </si>
  <si>
    <t>MS</t>
  </si>
  <si>
    <t>S(m)/T(m)</t>
  </si>
  <si>
    <t>MM-50</t>
  </si>
  <si>
    <t>MTC &lt;</t>
  </si>
  <si>
    <t>MM+50</t>
  </si>
  <si>
    <t>MTC &gt;</t>
  </si>
  <si>
    <t>1st Call</t>
  </si>
  <si>
    <t>APT</t>
  </si>
  <si>
    <t>Manif</t>
  </si>
  <si>
    <t>Dif</t>
  </si>
  <si>
    <t xml:space="preserve">DMZ </t>
  </si>
  <si>
    <t>MID PORT</t>
  </si>
  <si>
    <t>MID STB</t>
  </si>
  <si>
    <t>INTERMEDIATE DRAFT SURVEY</t>
  </si>
  <si>
    <t>1° TRIM Corrections</t>
  </si>
  <si>
    <t>TRIM Apparent</t>
  </si>
  <si>
    <t>Light ship</t>
  </si>
  <si>
    <t>CARGO QUANTITY</t>
  </si>
  <si>
    <t>Diference</t>
  </si>
  <si>
    <t>or %</t>
  </si>
  <si>
    <t>LCA / LCF</t>
  </si>
  <si>
    <t>INTERPOLATION</t>
  </si>
  <si>
    <t>MM +50</t>
  </si>
  <si>
    <t>Keel Correction FWD</t>
  </si>
  <si>
    <t>Keel Correction MID</t>
  </si>
  <si>
    <t>Keel Correction AFT</t>
  </si>
  <si>
    <t>DMZ</t>
  </si>
  <si>
    <t>Keel Correction M&amp;M</t>
  </si>
  <si>
    <t>FINAL DRAFT SURVEY</t>
  </si>
  <si>
    <t>TANK   NR.</t>
  </si>
  <si>
    <t>TOTAL BALLAST</t>
  </si>
  <si>
    <t xml:space="preserve">TOTAL DEDUCTIBLES </t>
  </si>
  <si>
    <t>NAABSA</t>
  </si>
  <si>
    <t>MARINE SURVEYORS</t>
  </si>
  <si>
    <t>surveyors@naabsa.com | naabsa.com</t>
  </si>
  <si>
    <t>DRAFT SURVEY REPORT</t>
  </si>
  <si>
    <t>LIGHT SHIP</t>
  </si>
  <si>
    <t>tons</t>
  </si>
  <si>
    <t>INITIAL</t>
  </si>
  <si>
    <t>INTERMEDIATE</t>
  </si>
  <si>
    <t>Condition</t>
  </si>
  <si>
    <t>Tide (m)</t>
  </si>
  <si>
    <t>MEANS OF MEANS</t>
  </si>
  <si>
    <t>TRUE DISPLACEMENT</t>
  </si>
  <si>
    <t>DENSITY</t>
  </si>
  <si>
    <r>
      <t>g/cm</t>
    </r>
    <r>
      <rPr>
        <vertAlign val="superscript"/>
        <sz val="11"/>
        <color theme="1"/>
        <rFont val="Calibri"/>
        <family val="2"/>
        <scheme val="minor"/>
      </rPr>
      <t>3</t>
    </r>
  </si>
  <si>
    <t>DISPLACEMENT CORRECTED</t>
  </si>
  <si>
    <t>NET DISPLACEMENT</t>
  </si>
  <si>
    <t>DEDUCTIBLES</t>
  </si>
  <si>
    <t>CARGO LOADED</t>
  </si>
  <si>
    <t>%</t>
  </si>
  <si>
    <t>MV</t>
  </si>
  <si>
    <t>Disclaimer: This survey was performed while vessel afloat alongside berth.</t>
  </si>
  <si>
    <t>FINAL</t>
  </si>
  <si>
    <t>This Draft Survey was performed jointly with under listed surveyors</t>
  </si>
  <si>
    <t>Acting as</t>
  </si>
  <si>
    <t>Cargo Controllers</t>
  </si>
  <si>
    <t>Company</t>
  </si>
  <si>
    <t>Figures</t>
  </si>
  <si>
    <t xml:space="preserve">surveyors@naabsa.com | naabsa.com </t>
  </si>
  <si>
    <t>Voy</t>
  </si>
  <si>
    <t>Yours faithfully,</t>
  </si>
  <si>
    <t>depth</t>
  </si>
  <si>
    <t>1 WBT P</t>
  </si>
  <si>
    <t>1 WBT S</t>
  </si>
  <si>
    <t>2 WBT P</t>
  </si>
  <si>
    <t>2 WBT S</t>
  </si>
  <si>
    <t>3 WBT P</t>
  </si>
  <si>
    <t>3 WBT S</t>
  </si>
  <si>
    <t xml:space="preserve">4 WBT P </t>
  </si>
  <si>
    <t xml:space="preserve">4 WBT S </t>
  </si>
  <si>
    <t>5 WBT P</t>
  </si>
  <si>
    <t>5 WBT S</t>
  </si>
  <si>
    <t>1 TST P</t>
  </si>
  <si>
    <t>1 TST S</t>
  </si>
  <si>
    <t>2 TST P</t>
  </si>
  <si>
    <t>2 TST S</t>
  </si>
  <si>
    <t>3 TST P</t>
  </si>
  <si>
    <t>3 TST S</t>
  </si>
  <si>
    <t>4 TST P</t>
  </si>
  <si>
    <t>4 TST S</t>
  </si>
  <si>
    <t>DW</t>
  </si>
  <si>
    <t>GAUGE</t>
  </si>
  <si>
    <t>Ref</t>
  </si>
  <si>
    <t>Port</t>
  </si>
  <si>
    <t>Terminal</t>
  </si>
  <si>
    <t>Vessel</t>
  </si>
  <si>
    <t>Flag</t>
  </si>
  <si>
    <t>Register Port</t>
  </si>
  <si>
    <t>Call sign</t>
  </si>
  <si>
    <t>V7356</t>
  </si>
  <si>
    <t>Type</t>
  </si>
  <si>
    <t>Delivered</t>
  </si>
  <si>
    <t>LOA (m)</t>
  </si>
  <si>
    <t>Captain</t>
  </si>
  <si>
    <t>Client</t>
  </si>
  <si>
    <t>Operator</t>
  </si>
  <si>
    <t>Cargo</t>
  </si>
  <si>
    <t>Discharging Port</t>
  </si>
  <si>
    <t>Atracado</t>
  </si>
  <si>
    <t>Depth Moulded</t>
  </si>
  <si>
    <t>Breadth moulded</t>
  </si>
  <si>
    <t>NET</t>
  </si>
  <si>
    <t>GRT</t>
  </si>
  <si>
    <t>Summer DWT</t>
  </si>
  <si>
    <t>Inicial</t>
  </si>
  <si>
    <t>Data</t>
  </si>
  <si>
    <t>Início</t>
  </si>
  <si>
    <t>Fim</t>
  </si>
  <si>
    <t>Final</t>
  </si>
  <si>
    <t>Intermediário</t>
  </si>
  <si>
    <t>5 TST P</t>
  </si>
  <si>
    <t>5 TST S</t>
  </si>
  <si>
    <t>Chief Officer</t>
  </si>
  <si>
    <t>Port Side</t>
  </si>
  <si>
    <t>START</t>
  </si>
  <si>
    <t>END</t>
  </si>
  <si>
    <t>12L</t>
  </si>
  <si>
    <t>Shed</t>
  </si>
  <si>
    <t>SOYBEANS IN BULK</t>
  </si>
  <si>
    <t>VANCOUVER, CANADA</t>
  </si>
  <si>
    <t>PANAMA</t>
  </si>
  <si>
    <t>BULK CARRIER</t>
  </si>
  <si>
    <t>List</t>
  </si>
  <si>
    <t>All drafts</t>
  </si>
  <si>
    <t>Disclaimer: This survey was performed while vessel afloat alongside berth</t>
  </si>
  <si>
    <t>SERVICE DATA</t>
  </si>
  <si>
    <t>VESSEL DATA</t>
  </si>
  <si>
    <t>SURVEY DATES</t>
  </si>
  <si>
    <t>OTHER DATA</t>
  </si>
  <si>
    <t>REF</t>
  </si>
  <si>
    <t>DRAFT SURVEY</t>
  </si>
  <si>
    <t>Official figures</t>
  </si>
  <si>
    <t>Kind of attendance</t>
  </si>
  <si>
    <t>CONSTANT ASCERTAINED</t>
  </si>
  <si>
    <t>DIFFERENCE</t>
  </si>
  <si>
    <t>Shipper's Surveyor</t>
  </si>
  <si>
    <t>SGS</t>
  </si>
  <si>
    <t>Sucden</t>
  </si>
  <si>
    <t>Customs' Surveyor</t>
  </si>
  <si>
    <t>SUCDEN</t>
  </si>
  <si>
    <t>Agência</t>
  </si>
  <si>
    <t>To</t>
  </si>
  <si>
    <t>Cc</t>
  </si>
  <si>
    <t>Loading</t>
  </si>
  <si>
    <t>Shore Scale</t>
  </si>
  <si>
    <t>Mr. Carlos Eduardo</t>
  </si>
  <si>
    <t>Draft Survey figures</t>
  </si>
  <si>
    <t>Difference</t>
  </si>
  <si>
    <t>Percentage</t>
  </si>
  <si>
    <t>INFORMAÇÕES</t>
  </si>
  <si>
    <t>2. Preencher somente as células destacadas em azul claro</t>
  </si>
  <si>
    <t>VESSEL´S COMMAND</t>
  </si>
  <si>
    <t>1. Service Data e Vessel data devem ser preenchidas em CAPS LOCK</t>
  </si>
  <si>
    <t>3. Os nomes devem ser preenchidos na odem nome e sobrenome</t>
  </si>
  <si>
    <t>CLIENT and OPERATOR</t>
  </si>
  <si>
    <t>4. Client and Operator a serem preenchido pelo escritório de Santos</t>
  </si>
  <si>
    <t>cm</t>
  </si>
  <si>
    <t>114/2026</t>
  </si>
  <si>
    <t>PARANAGUA</t>
  </si>
  <si>
    <t>EXPPOERT CORRIDOR</t>
  </si>
  <si>
    <t>HG ANTWERP</t>
  </si>
  <si>
    <t>Terminal's Surveyor</t>
  </si>
  <si>
    <t>Buyer's Surveyor</t>
  </si>
  <si>
    <t>Control Union</t>
  </si>
  <si>
    <t>Cefetra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</si>
</sst>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"/>
    <numFmt numFmtId="165" formatCode="0.000"/>
    <numFmt numFmtId="166" formatCode="0.000000"/>
    <numFmt numFmtId="167" formatCode="#,##0.000"/>
    <numFmt numFmtId="168" formatCode="0.00_ ;\-0.00\ "/>
    <numFmt numFmtId="169" formatCode="#,##0.00_ ;\-#,##0.00\ "/>
    <numFmt numFmtId="170" formatCode="#,##0.000_ ;\-#,##0.000\ "/>
    <numFmt numFmtId="171" formatCode="#,##0.000;\-#,##0.000"/>
    <numFmt numFmtId="172" formatCode="#,##0.00_ ;[Red]\-#,##0.00\ "/>
    <numFmt numFmtId="173" formatCode="0.000_ ;[Red]\-0.000\ "/>
    <numFmt numFmtId="174" formatCode="#,##0.000_ ;[Red]\-#,##0.000\ "/>
    <numFmt numFmtId="175" formatCode="0.0"/>
    <numFmt numFmtId="176" formatCode="[$-409]mmmm\ d&quot;, &quot;yyyy"/>
  </numFmts>
  <fonts count="44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8"/>
      <name val="Calibri"/>
      <family val="2"/>
    </font>
    <font>
      <sz val="1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3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9"/>
      <color rgb="FF002060"/>
      <name val="GeoSlab703 Md BT"/>
      <family val="1"/>
    </font>
    <font>
      <sz val="12"/>
      <color rgb="FF002060"/>
      <name val="GeoSlab703 Md BT"/>
      <family val="1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2060"/>
      <name val="GeoSlab703 Md BT"/>
      <family val="1"/>
    </font>
    <font>
      <sz val="8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indexed="60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28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40" fontId="2" fillId="0" borderId="0" applyFill="0" applyBorder="0" applyAlignment="0" applyProtection="0"/>
    <xf numFmtId="0" fontId="19" fillId="0" borderId="0" applyNumberFormat="0" applyFill="0" applyBorder="0" applyAlignment="0" applyProtection="0"/>
  </cellStyleXfs>
  <cellXfs count="747">
    <xf numFmtId="0" fontId="0" fillId="0" borderId="0" xfId="0"/>
    <xf numFmtId="0" fontId="0" fillId="0" borderId="0" xfId="0" applyProtection="1">
      <protection locked="0"/>
    </xf>
    <xf numFmtId="165" fontId="7" fillId="8" borderId="5" xfId="0" applyNumberFormat="1" applyFont="1" applyFill="1" applyBorder="1" applyAlignment="1" applyProtection="1">
      <alignment horizontal="center" vertical="center"/>
      <protection locked="0"/>
    </xf>
    <xf numFmtId="165" fontId="7" fillId="8" borderId="2" xfId="0" applyNumberFormat="1" applyFont="1" applyFill="1" applyBorder="1" applyAlignment="1" applyProtection="1">
      <alignment horizontal="center" vertical="center"/>
      <protection locked="0"/>
    </xf>
    <xf numFmtId="165" fontId="7" fillId="8" borderId="7" xfId="0" applyNumberFormat="1" applyFont="1" applyFill="1" applyBorder="1" applyAlignment="1" applyProtection="1">
      <alignment horizontal="center" vertical="center"/>
      <protection locked="0"/>
    </xf>
    <xf numFmtId="165" fontId="7" fillId="8" borderId="45" xfId="0" applyNumberFormat="1" applyFont="1" applyFill="1" applyBorder="1" applyAlignment="1" applyProtection="1">
      <alignment horizontal="center" vertical="center"/>
      <protection locked="0"/>
    </xf>
    <xf numFmtId="165" fontId="7" fillId="8" borderId="33" xfId="0" applyNumberFormat="1" applyFont="1" applyFill="1" applyBorder="1" applyAlignment="1" applyProtection="1">
      <alignment horizontal="center" vertical="center"/>
      <protection locked="0"/>
    </xf>
    <xf numFmtId="165" fontId="7" fillId="8" borderId="35" xfId="0" applyNumberFormat="1" applyFont="1" applyFill="1" applyBorder="1" applyAlignment="1" applyProtection="1">
      <alignment horizontal="center" vertical="center"/>
      <protection locked="0"/>
    </xf>
    <xf numFmtId="164" fontId="7" fillId="8" borderId="5" xfId="0" applyNumberFormat="1" applyFont="1" applyFill="1" applyBorder="1" applyAlignment="1" applyProtection="1">
      <alignment horizontal="center" vertical="center"/>
      <protection locked="0"/>
    </xf>
    <xf numFmtId="164" fontId="7" fillId="8" borderId="2" xfId="0" applyNumberFormat="1" applyFont="1" applyFill="1" applyBorder="1" applyAlignment="1" applyProtection="1">
      <alignment horizontal="center" vertical="center"/>
      <protection locked="0"/>
    </xf>
    <xf numFmtId="165" fontId="7" fillId="8" borderId="23" xfId="0" applyNumberFormat="1" applyFont="1" applyFill="1" applyBorder="1" applyAlignment="1" applyProtection="1">
      <alignment horizontal="center" vertical="center"/>
      <protection locked="0"/>
    </xf>
    <xf numFmtId="165" fontId="7" fillId="8" borderId="3" xfId="0" applyNumberFormat="1" applyFont="1" applyFill="1" applyBorder="1" applyAlignment="1" applyProtection="1">
      <alignment horizontal="center" vertical="center"/>
      <protection locked="0"/>
    </xf>
    <xf numFmtId="20" fontId="7" fillId="8" borderId="47" xfId="0" applyNumberFormat="1" applyFont="1" applyFill="1" applyBorder="1" applyAlignment="1" applyProtection="1">
      <alignment horizontal="center" vertical="center"/>
      <protection locked="0"/>
    </xf>
    <xf numFmtId="20" fontId="7" fillId="8" borderId="48" xfId="0" applyNumberFormat="1" applyFont="1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center" vertical="center"/>
      <protection locked="0"/>
    </xf>
    <xf numFmtId="0" fontId="0" fillId="8" borderId="25" xfId="0" applyFill="1" applyBorder="1" applyAlignment="1" applyProtection="1">
      <alignment horizontal="center" vertical="center"/>
      <protection locked="0"/>
    </xf>
    <xf numFmtId="165" fontId="0" fillId="8" borderId="39" xfId="0" applyNumberFormat="1" applyFill="1" applyBorder="1" applyAlignment="1" applyProtection="1">
      <alignment horizontal="center" vertical="center"/>
      <protection locked="0"/>
    </xf>
    <xf numFmtId="165" fontId="0" fillId="8" borderId="37" xfId="0" applyNumberFormat="1" applyFill="1" applyBorder="1" applyAlignment="1" applyProtection="1">
      <alignment horizontal="center" vertical="center"/>
      <protection locked="0"/>
    </xf>
    <xf numFmtId="165" fontId="0" fillId="8" borderId="38" xfId="0" applyNumberForma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7" fillId="8" borderId="2" xfId="0" applyFont="1" applyFill="1" applyBorder="1" applyAlignment="1" applyProtection="1">
      <alignment horizontal="center" vertical="center"/>
      <protection locked="0"/>
    </xf>
    <xf numFmtId="0" fontId="7" fillId="11" borderId="2" xfId="0" applyFont="1" applyFill="1" applyBorder="1" applyAlignment="1" applyProtection="1">
      <alignment horizontal="center" vertical="center"/>
      <protection locked="0"/>
    </xf>
    <xf numFmtId="0" fontId="7" fillId="8" borderId="6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2" fontId="7" fillId="8" borderId="62" xfId="0" applyNumberFormat="1" applyFont="1" applyFill="1" applyBorder="1" applyAlignment="1" applyProtection="1">
      <alignment horizontal="center" vertical="center"/>
      <protection locked="0"/>
    </xf>
    <xf numFmtId="2" fontId="7" fillId="8" borderId="3" xfId="0" applyNumberFormat="1" applyFont="1" applyFill="1" applyBorder="1" applyAlignment="1" applyProtection="1">
      <alignment horizontal="center" vertical="center"/>
      <protection locked="0"/>
    </xf>
    <xf numFmtId="2" fontId="7" fillId="8" borderId="63" xfId="0" applyNumberFormat="1" applyFont="1" applyFill="1" applyBorder="1" applyAlignment="1" applyProtection="1">
      <alignment horizontal="center" vertical="center"/>
      <protection locked="0"/>
    </xf>
    <xf numFmtId="165" fontId="7" fillId="8" borderId="42" xfId="0" applyNumberFormat="1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165" fontId="7" fillId="9" borderId="3" xfId="0" applyNumberFormat="1" applyFont="1" applyFill="1" applyBorder="1" applyAlignment="1" applyProtection="1">
      <alignment horizontal="center" vertical="center"/>
      <protection locked="0"/>
    </xf>
    <xf numFmtId="165" fontId="11" fillId="7" borderId="29" xfId="0" applyNumberFormat="1" applyFont="1" applyFill="1" applyBorder="1" applyAlignment="1" applyProtection="1">
      <alignment horizontal="center" vertical="center"/>
      <protection locked="0"/>
    </xf>
    <xf numFmtId="2" fontId="11" fillId="2" borderId="0" xfId="0" applyNumberFormat="1" applyFont="1" applyFill="1" applyAlignment="1" applyProtection="1">
      <alignment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165" fontId="7" fillId="8" borderId="25" xfId="0" applyNumberFormat="1" applyFont="1" applyFill="1" applyBorder="1" applyAlignment="1" applyProtection="1">
      <alignment horizontal="center" vertical="center"/>
      <protection locked="0"/>
    </xf>
    <xf numFmtId="2" fontId="4" fillId="8" borderId="39" xfId="0" applyNumberFormat="1" applyFont="1" applyFill="1" applyBorder="1" applyAlignment="1" applyProtection="1">
      <alignment vertical="center"/>
      <protection locked="0"/>
    </xf>
    <xf numFmtId="2" fontId="4" fillId="8" borderId="37" xfId="0" applyNumberFormat="1" applyFont="1" applyFill="1" applyBorder="1" applyAlignment="1" applyProtection="1">
      <alignment vertical="center"/>
      <protection locked="0"/>
    </xf>
    <xf numFmtId="2" fontId="4" fillId="8" borderId="38" xfId="0" applyNumberFormat="1" applyFont="1" applyFill="1" applyBorder="1" applyAlignment="1" applyProtection="1">
      <alignment vertical="center"/>
      <protection locked="0"/>
    </xf>
    <xf numFmtId="2" fontId="0" fillId="8" borderId="20" xfId="0" applyNumberFormat="1" applyFill="1" applyBorder="1" applyAlignment="1" applyProtection="1">
      <alignment horizontal="center" vertical="center"/>
      <protection locked="0"/>
    </xf>
    <xf numFmtId="0" fontId="0" fillId="8" borderId="52" xfId="0" applyFill="1" applyBorder="1" applyAlignment="1" applyProtection="1">
      <alignment horizontal="center" vertical="center"/>
      <protection locked="0"/>
    </xf>
    <xf numFmtId="0" fontId="0" fillId="8" borderId="54" xfId="0" applyFill="1" applyBorder="1" applyAlignment="1" applyProtection="1">
      <alignment horizontal="center" vertical="center"/>
      <protection locked="0"/>
    </xf>
    <xf numFmtId="2" fontId="0" fillId="8" borderId="64" xfId="0" applyNumberFormat="1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26" xfId="0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165" fontId="7" fillId="9" borderId="4" xfId="0" applyNumberFormat="1" applyFont="1" applyFill="1" applyBorder="1" applyAlignment="1" applyProtection="1">
      <alignment horizontal="center" vertical="center"/>
      <protection locked="0"/>
    </xf>
    <xf numFmtId="165" fontId="7" fillId="9" borderId="23" xfId="0" applyNumberFormat="1" applyFont="1" applyFill="1" applyBorder="1" applyAlignment="1" applyProtection="1">
      <alignment horizontal="center" vertical="center"/>
      <protection locked="0"/>
    </xf>
    <xf numFmtId="165" fontId="7" fillId="9" borderId="25" xfId="0" applyNumberFormat="1" applyFont="1" applyFill="1" applyBorder="1" applyAlignment="1" applyProtection="1">
      <alignment horizontal="center" vertical="center"/>
      <protection locked="0"/>
    </xf>
    <xf numFmtId="165" fontId="7" fillId="8" borderId="14" xfId="0" applyNumberFormat="1" applyFont="1" applyFill="1" applyBorder="1" applyAlignment="1" applyProtection="1">
      <alignment horizontal="center" vertical="center"/>
      <protection locked="0"/>
    </xf>
    <xf numFmtId="0" fontId="7" fillId="10" borderId="0" xfId="0" applyFont="1" applyFill="1" applyAlignment="1" applyProtection="1">
      <alignment vertical="center"/>
      <protection locked="0"/>
    </xf>
    <xf numFmtId="2" fontId="7" fillId="0" borderId="0" xfId="0" applyNumberFormat="1" applyFont="1" applyAlignment="1" applyProtection="1">
      <alignment vertical="center"/>
      <protection locked="0"/>
    </xf>
    <xf numFmtId="0" fontId="11" fillId="2" borderId="0" xfId="0" applyFont="1" applyFill="1" applyProtection="1">
      <protection locked="0"/>
    </xf>
    <xf numFmtId="0" fontId="37" fillId="2" borderId="0" xfId="0" applyFont="1" applyFill="1" applyAlignment="1" applyProtection="1">
      <alignment vertical="center"/>
      <protection locked="0"/>
    </xf>
    <xf numFmtId="0" fontId="37" fillId="0" borderId="0" xfId="0" applyFont="1" applyProtection="1">
      <protection locked="0"/>
    </xf>
    <xf numFmtId="0" fontId="37" fillId="2" borderId="0" xfId="0" applyFont="1" applyFill="1" applyProtection="1">
      <protection locked="0"/>
    </xf>
    <xf numFmtId="0" fontId="7" fillId="10" borderId="1" xfId="0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165" fontId="0" fillId="8" borderId="24" xfId="0" applyNumberFormat="1" applyFill="1" applyBorder="1" applyAlignment="1" applyProtection="1">
      <alignment vertical="center"/>
      <protection locked="0"/>
    </xf>
    <xf numFmtId="165" fontId="0" fillId="8" borderId="4" xfId="0" applyNumberFormat="1" applyFill="1" applyBorder="1" applyAlignment="1" applyProtection="1">
      <alignment vertical="center"/>
      <protection locked="0"/>
    </xf>
    <xf numFmtId="2" fontId="0" fillId="8" borderId="39" xfId="0" applyNumberFormat="1" applyFill="1" applyBorder="1" applyAlignment="1" applyProtection="1">
      <alignment horizontal="center" vertical="center"/>
      <protection locked="0"/>
    </xf>
    <xf numFmtId="2" fontId="0" fillId="8" borderId="52" xfId="0" applyNumberFormat="1" applyFill="1" applyBorder="1" applyAlignment="1" applyProtection="1">
      <alignment horizontal="center" vertical="center"/>
      <protection locked="0"/>
    </xf>
    <xf numFmtId="2" fontId="0" fillId="8" borderId="4" xfId="0" applyNumberFormat="1" applyFill="1" applyBorder="1" applyAlignment="1" applyProtection="1">
      <alignment horizontal="center" vertical="center"/>
      <protection locked="0"/>
    </xf>
    <xf numFmtId="2" fontId="0" fillId="8" borderId="37" xfId="0" applyNumberFormat="1" applyFill="1" applyBorder="1" applyAlignment="1" applyProtection="1">
      <alignment horizontal="center" vertical="center"/>
      <protection locked="0"/>
    </xf>
    <xf numFmtId="165" fontId="0" fillId="8" borderId="26" xfId="0" applyNumberFormat="1" applyFill="1" applyBorder="1" applyAlignment="1" applyProtection="1">
      <alignment vertical="center"/>
      <protection locked="0"/>
    </xf>
    <xf numFmtId="167" fontId="4" fillId="9" borderId="72" xfId="0" applyNumberFormat="1" applyFont="1" applyFill="1" applyBorder="1" applyAlignment="1" applyProtection="1">
      <alignment horizontal="center" vertical="center"/>
      <protection locked="0"/>
    </xf>
    <xf numFmtId="165" fontId="11" fillId="7" borderId="55" xfId="0" applyNumberFormat="1" applyFont="1" applyFill="1" applyBorder="1" applyAlignment="1" applyProtection="1">
      <alignment vertical="center"/>
      <protection locked="0"/>
    </xf>
    <xf numFmtId="2" fontId="0" fillId="8" borderId="38" xfId="0" applyNumberFormat="1" applyFill="1" applyBorder="1" applyAlignment="1" applyProtection="1">
      <alignment horizontal="center" vertical="center"/>
      <protection locked="0"/>
    </xf>
    <xf numFmtId="2" fontId="0" fillId="8" borderId="54" xfId="0" applyNumberFormat="1" applyFill="1" applyBorder="1" applyAlignment="1" applyProtection="1">
      <alignment horizontal="center" vertical="center"/>
      <protection locked="0"/>
    </xf>
    <xf numFmtId="2" fontId="0" fillId="8" borderId="26" xfId="0" applyNumberFormat="1" applyFill="1" applyBorder="1" applyAlignment="1" applyProtection="1">
      <alignment horizontal="center" vertical="center"/>
      <protection locked="0"/>
    </xf>
    <xf numFmtId="2" fontId="7" fillId="11" borderId="3" xfId="0" applyNumberFormat="1" applyFont="1" applyFill="1" applyBorder="1" applyAlignment="1" applyProtection="1">
      <alignment horizontal="center" vertical="center"/>
      <protection locked="0"/>
    </xf>
    <xf numFmtId="165" fontId="7" fillId="11" borderId="3" xfId="0" applyNumberFormat="1" applyFont="1" applyFill="1" applyBorder="1" applyAlignment="1" applyProtection="1">
      <alignment horizontal="center" vertical="center"/>
      <protection locked="0"/>
    </xf>
    <xf numFmtId="165" fontId="7" fillId="11" borderId="25" xfId="0" applyNumberFormat="1" applyFont="1" applyFill="1" applyBorder="1" applyAlignment="1" applyProtection="1">
      <alignment horizontal="center" vertical="center"/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0" fillId="11" borderId="24" xfId="0" applyFill="1" applyBorder="1" applyAlignment="1" applyProtection="1">
      <alignment horizontal="center" vertical="center"/>
      <protection locked="0"/>
    </xf>
    <xf numFmtId="0" fontId="0" fillId="11" borderId="26" xfId="0" applyFill="1" applyBorder="1" applyAlignment="1" applyProtection="1">
      <alignment horizontal="center" vertical="center"/>
      <protection locked="0"/>
    </xf>
    <xf numFmtId="0" fontId="0" fillId="11" borderId="23" xfId="0" applyFill="1" applyBorder="1" applyAlignment="1" applyProtection="1">
      <alignment horizontal="center" vertical="center"/>
      <protection locked="0"/>
    </xf>
    <xf numFmtId="49" fontId="7" fillId="9" borderId="2" xfId="0" applyNumberFormat="1" applyFont="1" applyFill="1" applyBorder="1" applyAlignment="1" applyProtection="1">
      <alignment horizontal="center" vertical="center"/>
      <protection locked="0"/>
    </xf>
    <xf numFmtId="0" fontId="0" fillId="11" borderId="25" xfId="0" applyFill="1" applyBorder="1" applyAlignment="1" applyProtection="1">
      <alignment horizontal="center" vertical="center"/>
      <protection locked="0"/>
    </xf>
    <xf numFmtId="165" fontId="0" fillId="11" borderId="24" xfId="0" applyNumberFormat="1" applyFill="1" applyBorder="1" applyAlignment="1" applyProtection="1">
      <alignment horizontal="center" vertical="center"/>
      <protection locked="0"/>
    </xf>
    <xf numFmtId="2" fontId="0" fillId="11" borderId="60" xfId="0" applyNumberFormat="1" applyFill="1" applyBorder="1" applyAlignment="1" applyProtection="1">
      <alignment horizontal="center" vertical="center"/>
      <protection locked="0"/>
    </xf>
    <xf numFmtId="2" fontId="0" fillId="11" borderId="64" xfId="0" applyNumberFormat="1" applyFill="1" applyBorder="1" applyAlignment="1" applyProtection="1">
      <alignment horizontal="center" vertical="center"/>
      <protection locked="0"/>
    </xf>
    <xf numFmtId="165" fontId="0" fillId="11" borderId="4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52" xfId="0" applyNumberFormat="1" applyFill="1" applyBorder="1" applyAlignment="1" applyProtection="1">
      <alignment horizontal="center" vertical="center"/>
      <protection locked="0"/>
    </xf>
    <xf numFmtId="2" fontId="0" fillId="11" borderId="4" xfId="0" applyNumberFormat="1" applyFill="1" applyBorder="1" applyAlignment="1" applyProtection="1">
      <alignment horizontal="center" vertical="center"/>
      <protection locked="0"/>
    </xf>
    <xf numFmtId="165" fontId="7" fillId="11" borderId="42" xfId="0" applyNumberFormat="1" applyFont="1" applyFill="1" applyBorder="1" applyAlignment="1" applyProtection="1">
      <alignment horizontal="center" vertical="center"/>
      <protection locked="0"/>
    </xf>
    <xf numFmtId="165" fontId="0" fillId="11" borderId="26" xfId="0" applyNumberFormat="1" applyFill="1" applyBorder="1" applyAlignment="1" applyProtection="1">
      <alignment horizontal="center" vertical="center"/>
      <protection locked="0"/>
    </xf>
    <xf numFmtId="0" fontId="11" fillId="7" borderId="28" xfId="0" applyFont="1" applyFill="1" applyBorder="1" applyAlignment="1" applyProtection="1">
      <alignment vertical="center"/>
      <protection locked="0"/>
    </xf>
    <xf numFmtId="0" fontId="11" fillId="7" borderId="12" xfId="0" applyFont="1" applyFill="1" applyBorder="1" applyAlignment="1" applyProtection="1">
      <alignment vertical="center"/>
      <protection locked="0"/>
    </xf>
    <xf numFmtId="2" fontId="11" fillId="7" borderId="29" xfId="0" applyNumberFormat="1" applyFont="1" applyFill="1" applyBorder="1" applyAlignment="1" applyProtection="1">
      <alignment vertical="center"/>
      <protection locked="0"/>
    </xf>
    <xf numFmtId="167" fontId="7" fillId="9" borderId="29" xfId="0" applyNumberFormat="1" applyFont="1" applyFill="1" applyBorder="1" applyAlignment="1" applyProtection="1">
      <alignment horizontal="center" vertical="center"/>
      <protection locked="0"/>
    </xf>
    <xf numFmtId="4" fontId="7" fillId="9" borderId="27" xfId="0" applyNumberFormat="1" applyFont="1" applyFill="1" applyBorder="1" applyAlignment="1" applyProtection="1">
      <alignment horizontal="center" vertical="center"/>
      <protection locked="0"/>
    </xf>
    <xf numFmtId="2" fontId="0" fillId="11" borderId="7" xfId="0" applyNumberFormat="1" applyFill="1" applyBorder="1" applyAlignment="1" applyProtection="1">
      <alignment horizontal="center" vertical="center"/>
      <protection locked="0"/>
    </xf>
    <xf numFmtId="2" fontId="0" fillId="11" borderId="26" xfId="0" applyNumberFormat="1" applyFill="1" applyBorder="1" applyAlignment="1" applyProtection="1">
      <alignment horizontal="center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22" fillId="0" borderId="0" xfId="5" applyFont="1" applyAlignment="1" applyProtection="1">
      <alignment vertical="center"/>
    </xf>
    <xf numFmtId="0" fontId="17" fillId="0" borderId="0" xfId="5" applyFont="1" applyAlignment="1" applyProtection="1">
      <alignment vertical="center"/>
    </xf>
    <xf numFmtId="0" fontId="11" fillId="7" borderId="13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vertical="center"/>
    </xf>
    <xf numFmtId="0" fontId="7" fillId="10" borderId="15" xfId="0" applyFont="1" applyFill="1" applyBorder="1" applyAlignment="1">
      <alignment vertical="center"/>
    </xf>
    <xf numFmtId="0" fontId="7" fillId="10" borderId="17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24" fillId="10" borderId="31" xfId="0" applyFont="1" applyFill="1" applyBorder="1" applyAlignment="1">
      <alignment horizontal="center" vertical="center"/>
    </xf>
    <xf numFmtId="0" fontId="24" fillId="10" borderId="32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164" fontId="7" fillId="9" borderId="24" xfId="0" applyNumberFormat="1" applyFont="1" applyFill="1" applyBorder="1" applyAlignment="1">
      <alignment horizontal="center" vertical="center"/>
    </xf>
    <xf numFmtId="164" fontId="7" fillId="9" borderId="4" xfId="0" applyNumberFormat="1" applyFont="1" applyFill="1" applyBorder="1" applyAlignment="1">
      <alignment horizontal="center" vertical="center"/>
    </xf>
    <xf numFmtId="164" fontId="7" fillId="9" borderId="26" xfId="0" applyNumberFormat="1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164" fontId="7" fillId="9" borderId="8" xfId="0" applyNumberFormat="1" applyFont="1" applyFill="1" applyBorder="1" applyAlignment="1">
      <alignment horizontal="center" vertical="center"/>
    </xf>
    <xf numFmtId="164" fontId="32" fillId="9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1" xfId="0" applyFont="1" applyBorder="1" applyAlignment="1">
      <alignment vertical="center"/>
    </xf>
    <xf numFmtId="0" fontId="11" fillId="7" borderId="69" xfId="0" applyFont="1" applyFill="1" applyBorder="1" applyAlignment="1">
      <alignment horizontal="center" vertical="center"/>
    </xf>
    <xf numFmtId="0" fontId="11" fillId="7" borderId="46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69" xfId="0" applyFont="1" applyFill="1" applyBorder="1" applyAlignment="1">
      <alignment horizontal="center"/>
    </xf>
    <xf numFmtId="2" fontId="11" fillId="7" borderId="46" xfId="0" applyNumberFormat="1" applyFont="1" applyFill="1" applyBorder="1" applyAlignment="1">
      <alignment horizontal="center" vertical="center"/>
    </xf>
    <xf numFmtId="165" fontId="4" fillId="9" borderId="14" xfId="0" applyNumberFormat="1" applyFont="1" applyFill="1" applyBorder="1" applyAlignment="1">
      <alignment horizontal="center" vertical="center"/>
    </xf>
    <xf numFmtId="0" fontId="24" fillId="0" borderId="0" xfId="0" applyFont="1"/>
    <xf numFmtId="0" fontId="11" fillId="7" borderId="5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165" fontId="7" fillId="9" borderId="21" xfId="0" applyNumberFormat="1" applyFont="1" applyFill="1" applyBorder="1" applyAlignment="1">
      <alignment horizontal="center" vertical="center"/>
    </xf>
    <xf numFmtId="165" fontId="0" fillId="9" borderId="70" xfId="0" applyNumberFormat="1" applyFill="1" applyBorder="1" applyAlignment="1">
      <alignment horizontal="center" vertical="center"/>
    </xf>
    <xf numFmtId="165" fontId="7" fillId="9" borderId="48" xfId="0" applyNumberFormat="1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164" fontId="32" fillId="9" borderId="6" xfId="0" applyNumberFormat="1" applyFont="1" applyFill="1" applyBorder="1" applyAlignment="1">
      <alignment horizontal="center" vertical="center"/>
    </xf>
    <xf numFmtId="165" fontId="32" fillId="9" borderId="42" xfId="0" applyNumberFormat="1" applyFont="1" applyFill="1" applyBorder="1" applyAlignment="1">
      <alignment horizontal="center" vertical="center"/>
    </xf>
    <xf numFmtId="0" fontId="11" fillId="7" borderId="61" xfId="0" applyFont="1" applyFill="1" applyBorder="1" applyAlignment="1">
      <alignment horizontal="center" vertical="center"/>
    </xf>
    <xf numFmtId="0" fontId="11" fillId="7" borderId="62" xfId="0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164" fontId="32" fillId="9" borderId="7" xfId="0" applyNumberFormat="1" applyFont="1" applyFill="1" applyBorder="1" applyAlignment="1">
      <alignment horizontal="center" vertical="center"/>
    </xf>
    <xf numFmtId="164" fontId="32" fillId="9" borderId="25" xfId="0" applyNumberFormat="1" applyFont="1" applyFill="1" applyBorder="1" applyAlignment="1">
      <alignment horizontal="center" vertical="center"/>
    </xf>
    <xf numFmtId="164" fontId="7" fillId="9" borderId="2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11" fillId="7" borderId="43" xfId="0" applyFont="1" applyFill="1" applyBorder="1" applyAlignment="1">
      <alignment horizontal="center" vertical="center"/>
    </xf>
    <xf numFmtId="0" fontId="0" fillId="10" borderId="0" xfId="0" applyFill="1"/>
    <xf numFmtId="0" fontId="11" fillId="7" borderId="65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6" xfId="0" applyFont="1" applyFill="1" applyBorder="1" applyAlignment="1">
      <alignment horizontal="center" vertical="center" wrapText="1"/>
    </xf>
    <xf numFmtId="0" fontId="11" fillId="7" borderId="58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165" fontId="7" fillId="9" borderId="24" xfId="0" applyNumberFormat="1" applyFont="1" applyFill="1" applyBorder="1" applyAlignment="1">
      <alignment horizontal="center" vertical="center"/>
    </xf>
    <xf numFmtId="165" fontId="7" fillId="9" borderId="4" xfId="0" applyNumberFormat="1" applyFont="1" applyFill="1" applyBorder="1" applyAlignment="1">
      <alignment horizontal="center" vertical="center"/>
    </xf>
    <xf numFmtId="165" fontId="7" fillId="9" borderId="26" xfId="0" applyNumberFormat="1" applyFont="1" applyFill="1" applyBorder="1" applyAlignment="1">
      <alignment horizontal="center" vertical="center"/>
    </xf>
    <xf numFmtId="2" fontId="32" fillId="9" borderId="4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29" fillId="10" borderId="1" xfId="0" applyFont="1" applyFill="1" applyBorder="1" applyAlignment="1">
      <alignment vertical="center"/>
    </xf>
    <xf numFmtId="0" fontId="7" fillId="10" borderId="11" xfId="0" applyFont="1" applyFill="1" applyBorder="1" applyAlignment="1">
      <alignment vertical="center"/>
    </xf>
    <xf numFmtId="0" fontId="7" fillId="10" borderId="10" xfId="0" applyFont="1" applyFill="1" applyBorder="1" applyAlignment="1">
      <alignment vertical="center"/>
    </xf>
    <xf numFmtId="0" fontId="0" fillId="10" borderId="21" xfId="0" applyFill="1" applyBorder="1"/>
    <xf numFmtId="167" fontId="7" fillId="10" borderId="0" xfId="0" applyNumberFormat="1" applyFont="1" applyFill="1" applyAlignment="1">
      <alignment horizontal="center" vertical="center"/>
    </xf>
    <xf numFmtId="167" fontId="7" fillId="10" borderId="21" xfId="0" applyNumberFormat="1" applyFont="1" applyFill="1" applyBorder="1" applyAlignment="1">
      <alignment vertical="center"/>
    </xf>
    <xf numFmtId="2" fontId="0" fillId="9" borderId="24" xfId="0" applyNumberFormat="1" applyFill="1" applyBorder="1" applyAlignment="1">
      <alignment horizontal="center" vertical="center"/>
    </xf>
    <xf numFmtId="0" fontId="31" fillId="7" borderId="5" xfId="0" applyFont="1" applyFill="1" applyBorder="1"/>
    <xf numFmtId="0" fontId="0" fillId="9" borderId="52" xfId="0" applyFill="1" applyBorder="1" applyAlignment="1">
      <alignment horizontal="center" vertical="center"/>
    </xf>
    <xf numFmtId="164" fontId="0" fillId="9" borderId="63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0" fontId="7" fillId="8" borderId="19" xfId="0" applyNumberFormat="1" applyFont="1" applyFill="1" applyBorder="1" applyAlignment="1" applyProtection="1">
      <alignment horizontal="center" vertical="center"/>
      <protection locked="0"/>
    </xf>
    <xf numFmtId="20" fontId="7" fillId="8" borderId="33" xfId="0" applyNumberFormat="1" applyFont="1" applyFill="1" applyBorder="1" applyAlignment="1" applyProtection="1">
      <alignment horizontal="center" vertical="center"/>
      <protection locked="0"/>
    </xf>
    <xf numFmtId="4" fontId="0" fillId="8" borderId="38" xfId="0" applyNumberFormat="1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>
      <alignment horizontal="center" vertical="center"/>
    </xf>
    <xf numFmtId="164" fontId="33" fillId="9" borderId="14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2" fontId="11" fillId="7" borderId="7" xfId="0" applyNumberFormat="1" applyFont="1" applyFill="1" applyBorder="1" applyAlignment="1">
      <alignment horizontal="center" vertical="center"/>
    </xf>
    <xf numFmtId="165" fontId="7" fillId="9" borderId="14" xfId="0" applyNumberFormat="1" applyFont="1" applyFill="1" applyBorder="1" applyAlignment="1">
      <alignment horizontal="center" vertical="center"/>
    </xf>
    <xf numFmtId="165" fontId="7" fillId="9" borderId="64" xfId="0" applyNumberFormat="1" applyFont="1" applyFill="1" applyBorder="1" applyAlignment="1">
      <alignment horizontal="center" vertical="center"/>
    </xf>
    <xf numFmtId="165" fontId="0" fillId="9" borderId="4" xfId="0" applyNumberFormat="1" applyFill="1" applyBorder="1" applyAlignment="1">
      <alignment horizontal="center" vertical="center"/>
    </xf>
    <xf numFmtId="0" fontId="36" fillId="7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0" fontId="11" fillId="7" borderId="62" xfId="0" applyFont="1" applyFill="1" applyBorder="1" applyAlignment="1">
      <alignment horizontal="center" vertical="center" wrapText="1"/>
    </xf>
    <xf numFmtId="0" fontId="25" fillId="7" borderId="52" xfId="0" applyFont="1" applyFill="1" applyBorder="1" applyAlignment="1">
      <alignment horizontal="center" vertical="center"/>
    </xf>
    <xf numFmtId="0" fontId="8" fillId="10" borderId="0" xfId="0" applyFont="1" applyFill="1" applyAlignment="1">
      <alignment vertical="center"/>
    </xf>
    <xf numFmtId="0" fontId="7" fillId="10" borderId="11" xfId="0" applyFont="1" applyFill="1" applyBorder="1" applyAlignment="1">
      <alignment horizontal="center" vertical="center"/>
    </xf>
    <xf numFmtId="0" fontId="0" fillId="10" borderId="10" xfId="0" applyFill="1" applyBorder="1"/>
    <xf numFmtId="168" fontId="7" fillId="1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11" fillId="7" borderId="61" xfId="0" applyFont="1" applyFill="1" applyBorder="1" applyAlignment="1">
      <alignment horizontal="center" vertical="center" wrapText="1"/>
    </xf>
    <xf numFmtId="0" fontId="11" fillId="7" borderId="71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29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2" fontId="32" fillId="9" borderId="14" xfId="0" applyNumberFormat="1" applyFont="1" applyFill="1" applyBorder="1" applyAlignment="1">
      <alignment horizontal="center" vertical="center"/>
    </xf>
    <xf numFmtId="2" fontId="7" fillId="10" borderId="0" xfId="0" applyNumberFormat="1" applyFont="1" applyFill="1" applyAlignment="1">
      <alignment horizontal="center" vertical="center"/>
    </xf>
    <xf numFmtId="2" fontId="7" fillId="10" borderId="21" xfId="0" applyNumberFormat="1" applyFont="1" applyFill="1" applyBorder="1" applyAlignment="1">
      <alignment horizontal="center" vertical="center"/>
    </xf>
    <xf numFmtId="2" fontId="9" fillId="9" borderId="17" xfId="0" applyNumberFormat="1" applyFont="1" applyFill="1" applyBorder="1" applyAlignment="1">
      <alignment horizontal="center" vertical="center"/>
    </xf>
    <xf numFmtId="0" fontId="25" fillId="7" borderId="14" xfId="0" applyFont="1" applyFill="1" applyBorder="1"/>
    <xf numFmtId="167" fontId="4" fillId="9" borderId="36" xfId="0" applyNumberFormat="1" applyFont="1" applyFill="1" applyBorder="1" applyAlignment="1" applyProtection="1">
      <alignment horizontal="center" vertical="center"/>
      <protection locked="0"/>
    </xf>
    <xf numFmtId="165" fontId="0" fillId="9" borderId="5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vertical="center"/>
    </xf>
    <xf numFmtId="165" fontId="0" fillId="9" borderId="24" xfId="0" applyNumberFormat="1" applyFill="1" applyBorder="1" applyAlignment="1">
      <alignment horizontal="center" vertical="center"/>
    </xf>
    <xf numFmtId="165" fontId="0" fillId="9" borderId="26" xfId="0" applyNumberFormat="1" applyFill="1" applyBorder="1" applyAlignment="1">
      <alignment horizontal="center" vertical="center"/>
    </xf>
    <xf numFmtId="165" fontId="7" fillId="9" borderId="30" xfId="0" applyNumberFormat="1" applyFont="1" applyFill="1" applyBorder="1" applyAlignment="1" applyProtection="1">
      <alignment horizontal="center" vertical="center"/>
      <protection locked="0"/>
    </xf>
    <xf numFmtId="167" fontId="4" fillId="9" borderId="2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inden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10" fillId="13" borderId="0" xfId="0" applyFont="1" applyFill="1" applyAlignment="1">
      <alignment horizontal="center" vertical="center" indent="1"/>
    </xf>
    <xf numFmtId="0" fontId="10" fillId="13" borderId="0" xfId="0" applyFont="1" applyFill="1" applyAlignment="1">
      <alignment horizontal="center" vertical="center"/>
    </xf>
    <xf numFmtId="176" fontId="0" fillId="14" borderId="0" xfId="0" applyNumberFormat="1" applyFill="1" applyAlignment="1">
      <alignment vertical="center" indent="1"/>
    </xf>
    <xf numFmtId="20" fontId="0" fillId="14" borderId="0" xfId="0" applyNumberFormat="1" applyFill="1" applyAlignment="1">
      <alignment horizontal="center" vertical="center"/>
    </xf>
    <xf numFmtId="14" fontId="0" fillId="14" borderId="0" xfId="0" applyNumberFormat="1" applyFill="1" applyAlignment="1">
      <alignment vertical="center" indent="1"/>
    </xf>
    <xf numFmtId="0" fontId="0" fillId="8" borderId="0" xfId="0" applyFill="1" applyAlignment="1" applyProtection="1">
      <alignment horizontal="left" vertical="center" indent="1"/>
      <protection locked="0"/>
    </xf>
    <xf numFmtId="2" fontId="0" fillId="8" borderId="0" xfId="0" applyNumberFormat="1" applyFill="1" applyAlignment="1" applyProtection="1">
      <alignment horizontal="left" vertical="center" indent="1"/>
      <protection locked="0"/>
    </xf>
    <xf numFmtId="4" fontId="0" fillId="8" borderId="0" xfId="0" applyNumberFormat="1" applyFill="1" applyAlignment="1" applyProtection="1">
      <alignment horizontal="left" vertical="center" indent="1"/>
      <protection locked="0"/>
    </xf>
    <xf numFmtId="0" fontId="0" fillId="8" borderId="0" xfId="0" applyFill="1" applyAlignment="1" applyProtection="1">
      <alignment vertical="center" indent="1"/>
      <protection locked="0"/>
    </xf>
    <xf numFmtId="0" fontId="43" fillId="9" borderId="0" xfId="0" applyFont="1" applyFill="1" applyAlignment="1">
      <alignment horizontal="left" vertical="center" indent="1"/>
    </xf>
    <xf numFmtId="0" fontId="43" fillId="9" borderId="0" xfId="0" applyFont="1" applyFill="1" applyAlignment="1">
      <alignment vertical="center" indent="1"/>
    </xf>
    <xf numFmtId="0" fontId="33" fillId="9" borderId="0" xfId="0" applyFont="1" applyFill="1" applyAlignment="1">
      <alignment vertical="center" indent="1"/>
    </xf>
    <xf numFmtId="0" fontId="10" fillId="9" borderId="0" xfId="0" applyFont="1" applyFill="1"/>
    <xf numFmtId="0" fontId="10" fillId="9" borderId="0" xfId="0" applyFont="1" applyFill="1" applyAlignment="1">
      <alignment vertical="center" indent="1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2" borderId="0" xfId="0" applyFont="1" applyFill="1" applyAlignment="1">
      <alignment vertical="center"/>
    </xf>
    <xf numFmtId="0" fontId="37" fillId="2" borderId="0" xfId="0" applyFont="1" applyFill="1"/>
    <xf numFmtId="0" fontId="0" fillId="2" borderId="0" xfId="0" applyFill="1" applyAlignment="1">
      <alignment vertical="center"/>
    </xf>
    <xf numFmtId="0" fontId="0" fillId="2" borderId="0" xfId="0" applyFill="1"/>
    <xf numFmtId="165" fontId="0" fillId="2" borderId="0" xfId="0" applyNumberFormat="1" applyFill="1"/>
    <xf numFmtId="2" fontId="0" fillId="2" borderId="0" xfId="0" applyNumberFormat="1" applyFill="1"/>
    <xf numFmtId="165" fontId="7" fillId="2" borderId="0" xfId="0" applyNumberFormat="1" applyFont="1" applyFill="1"/>
    <xf numFmtId="2" fontId="0" fillId="2" borderId="0" xfId="0" applyNumberFormat="1" applyFill="1" applyAlignment="1">
      <alignment vertical="center"/>
    </xf>
    <xf numFmtId="0" fontId="4" fillId="0" borderId="0" xfId="0" applyFont="1"/>
    <xf numFmtId="0" fontId="0" fillId="0" borderId="25" xfId="0" applyBorder="1" applyAlignment="1">
      <alignment horizontal="center" vertical="center"/>
    </xf>
    <xf numFmtId="165" fontId="0" fillId="9" borderId="3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1" fillId="2" borderId="0" xfId="0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2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164" fontId="37" fillId="2" borderId="0" xfId="0" applyNumberFormat="1" applyFont="1" applyFill="1" applyAlignment="1">
      <alignment vertical="center"/>
    </xf>
    <xf numFmtId="0" fontId="0" fillId="0" borderId="3" xfId="0" applyBorder="1" applyAlignment="1">
      <alignment horizontal="center" vertical="center"/>
    </xf>
    <xf numFmtId="0" fontId="31" fillId="7" borderId="1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6" fontId="7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10" xfId="0" applyFont="1" applyBorder="1" applyAlignment="1">
      <alignment vertical="center"/>
    </xf>
    <xf numFmtId="167" fontId="7" fillId="9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0" fillId="0" borderId="1" xfId="0" applyBorder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21" xfId="0" applyNumberFormat="1" applyBorder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2" fontId="25" fillId="7" borderId="2" xfId="0" applyNumberFormat="1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7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0" fillId="0" borderId="21" xfId="0" applyBorder="1"/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0" fillId="0" borderId="1" xfId="0" applyBorder="1"/>
    <xf numFmtId="2" fontId="7" fillId="9" borderId="16" xfId="0" applyNumberFormat="1" applyFont="1" applyFill="1" applyBorder="1" applyAlignment="1">
      <alignment vertical="center"/>
    </xf>
    <xf numFmtId="2" fontId="7" fillId="9" borderId="17" xfId="0" applyNumberFormat="1" applyFont="1" applyFill="1" applyBorder="1" applyAlignment="1">
      <alignment horizontal="left" vertical="center"/>
    </xf>
    <xf numFmtId="0" fontId="25" fillId="7" borderId="60" xfId="0" applyFont="1" applyFill="1" applyBorder="1" applyAlignment="1">
      <alignment horizontal="center" vertical="center"/>
    </xf>
    <xf numFmtId="0" fontId="25" fillId="7" borderId="72" xfId="0" applyFont="1" applyFill="1" applyBorder="1" applyAlignment="1">
      <alignment horizontal="center" vertical="center"/>
    </xf>
    <xf numFmtId="165" fontId="7" fillId="9" borderId="65" xfId="0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164" fontId="7" fillId="9" borderId="64" xfId="0" applyNumberFormat="1" applyFont="1" applyFill="1" applyBorder="1" applyAlignment="1">
      <alignment horizontal="center" vertical="center"/>
    </xf>
    <xf numFmtId="4" fontId="32" fillId="9" borderId="4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29" fillId="0" borderId="0" xfId="0" applyFont="1" applyAlignment="1">
      <alignment vertical="center"/>
    </xf>
    <xf numFmtId="0" fontId="35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2" fontId="11" fillId="2" borderId="0" xfId="0" applyNumberFormat="1" applyFont="1" applyFill="1" applyAlignment="1">
      <alignment vertical="center"/>
    </xf>
    <xf numFmtId="0" fontId="11" fillId="0" borderId="0" xfId="0" applyFont="1"/>
    <xf numFmtId="0" fontId="11" fillId="2" borderId="0" xfId="0" applyFont="1" applyFill="1"/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165" fontId="7" fillId="9" borderId="3" xfId="0" applyNumberFormat="1" applyFont="1" applyFill="1" applyBorder="1" applyAlignment="1">
      <alignment horizontal="center" vertical="center"/>
    </xf>
    <xf numFmtId="165" fontId="7" fillId="9" borderId="2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165" fontId="7" fillId="9" borderId="23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2" fontId="11" fillId="2" borderId="0" xfId="0" applyNumberFormat="1" applyFont="1" applyFill="1"/>
    <xf numFmtId="164" fontId="11" fillId="2" borderId="0" xfId="0" applyNumberFormat="1" applyFont="1" applyFill="1"/>
    <xf numFmtId="165" fontId="0" fillId="0" borderId="0" xfId="0" applyNumberFormat="1"/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7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right"/>
    </xf>
    <xf numFmtId="0" fontId="10" fillId="10" borderId="5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right"/>
    </xf>
    <xf numFmtId="0" fontId="10" fillId="10" borderId="52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0" borderId="19" xfId="0" applyFont="1" applyBorder="1"/>
    <xf numFmtId="0" fontId="10" fillId="0" borderId="5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0" fillId="0" borderId="19" xfId="0" applyBorder="1"/>
    <xf numFmtId="0" fontId="10" fillId="0" borderId="19" xfId="0" applyFont="1" applyBorder="1" applyAlignment="1">
      <alignment horizontal="center" vertical="center"/>
    </xf>
    <xf numFmtId="20" fontId="0" fillId="0" borderId="34" xfId="0" applyNumberFormat="1" applyBorder="1" applyAlignment="1">
      <alignment horizontal="right"/>
    </xf>
    <xf numFmtId="0" fontId="0" fillId="0" borderId="34" xfId="0" applyBorder="1"/>
    <xf numFmtId="20" fontId="0" fillId="0" borderId="19" xfId="0" applyNumberFormat="1" applyBorder="1"/>
    <xf numFmtId="0" fontId="21" fillId="0" borderId="66" xfId="0" applyFont="1" applyBorder="1" applyAlignment="1">
      <alignment horizontal="left"/>
    </xf>
    <xf numFmtId="1" fontId="9" fillId="0" borderId="34" xfId="0" applyNumberFormat="1" applyFont="1" applyBorder="1" applyAlignment="1">
      <alignment horizontal="center"/>
    </xf>
    <xf numFmtId="0" fontId="21" fillId="0" borderId="34" xfId="0" applyFont="1" applyBorder="1" applyAlignment="1">
      <alignment horizontal="left"/>
    </xf>
    <xf numFmtId="2" fontId="23" fillId="0" borderId="67" xfId="0" applyNumberFormat="1" applyFont="1" applyBorder="1" applyAlignment="1">
      <alignment horizontal="left"/>
    </xf>
    <xf numFmtId="0" fontId="21" fillId="0" borderId="59" xfId="0" applyFont="1" applyBorder="1" applyAlignment="1">
      <alignment horizontal="left" vertical="center"/>
    </xf>
    <xf numFmtId="2" fontId="23" fillId="0" borderId="31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2" fontId="23" fillId="0" borderId="60" xfId="0" applyNumberFormat="1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14" fillId="0" borderId="0" xfId="0" applyFont="1"/>
    <xf numFmtId="0" fontId="40" fillId="10" borderId="51" xfId="0" applyFont="1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0" fillId="0" borderId="31" xfId="0" applyBorder="1"/>
    <xf numFmtId="0" fontId="0" fillId="0" borderId="34" xfId="0" applyBorder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10" fillId="6" borderId="19" xfId="0" applyFont="1" applyFill="1" applyBorder="1" applyAlignment="1">
      <alignment horizontal="center"/>
    </xf>
    <xf numFmtId="0" fontId="0" fillId="0" borderId="51" xfId="0" applyBorder="1" applyAlignment="1">
      <alignment horizontal="left"/>
    </xf>
    <xf numFmtId="0" fontId="0" fillId="0" borderId="31" xfId="0" applyBorder="1" applyAlignment="1">
      <alignment horizontal="left"/>
    </xf>
    <xf numFmtId="0" fontId="4" fillId="0" borderId="51" xfId="0" applyFont="1" applyBorder="1" applyAlignment="1">
      <alignment horizontal="left"/>
    </xf>
    <xf numFmtId="4" fontId="0" fillId="0" borderId="31" xfId="0" applyNumberFormat="1" applyBorder="1"/>
    <xf numFmtId="0" fontId="0" fillId="0" borderId="19" xfId="0" applyBorder="1" applyAlignment="1">
      <alignment horizontal="left"/>
    </xf>
    <xf numFmtId="14" fontId="0" fillId="0" borderId="0" xfId="0" applyNumberFormat="1" applyAlignment="1">
      <alignment horizontal="left"/>
    </xf>
    <xf numFmtId="167" fontId="15" fillId="0" borderId="0" xfId="0" applyNumberFormat="1" applyFont="1"/>
    <xf numFmtId="2" fontId="0" fillId="9" borderId="17" xfId="0" applyNumberFormat="1" applyFill="1" applyBorder="1" applyAlignment="1">
      <alignment horizontal="center" vertical="center"/>
    </xf>
    <xf numFmtId="0" fontId="27" fillId="10" borderId="43" xfId="0" applyFont="1" applyFill="1" applyBorder="1" applyAlignment="1">
      <alignment horizontal="center" vertical="center" wrapText="1"/>
    </xf>
    <xf numFmtId="0" fontId="27" fillId="10" borderId="18" xfId="0" applyFont="1" applyFill="1" applyBorder="1" applyAlignment="1">
      <alignment horizontal="center" vertical="center" wrapText="1"/>
    </xf>
    <xf numFmtId="0" fontId="27" fillId="10" borderId="46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7" fillId="8" borderId="49" xfId="0" applyNumberFormat="1" applyFont="1" applyFill="1" applyBorder="1" applyAlignment="1" applyProtection="1">
      <alignment horizontal="center" vertical="center"/>
      <protection locked="0"/>
    </xf>
    <xf numFmtId="167" fontId="7" fillId="8" borderId="44" xfId="0" applyNumberFormat="1" applyFont="1" applyFill="1" applyBorder="1" applyAlignment="1" applyProtection="1">
      <alignment horizontal="center" vertical="center"/>
      <protection locked="0"/>
    </xf>
    <xf numFmtId="167" fontId="7" fillId="8" borderId="50" xfId="0" applyNumberFormat="1" applyFont="1" applyFill="1" applyBorder="1" applyAlignment="1" applyProtection="1">
      <alignment horizontal="center" vertical="center"/>
      <protection locked="0"/>
    </xf>
    <xf numFmtId="0" fontId="11" fillId="7" borderId="40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164" fontId="32" fillId="9" borderId="53" xfId="0" applyNumberFormat="1" applyFont="1" applyFill="1" applyBorder="1" applyAlignment="1">
      <alignment horizontal="center" vertical="center"/>
    </xf>
    <xf numFmtId="164" fontId="32" fillId="9" borderId="48" xfId="0" applyNumberFormat="1" applyFont="1" applyFill="1" applyBorder="1" applyAlignment="1">
      <alignment horizontal="center" vertical="center"/>
    </xf>
    <xf numFmtId="165" fontId="7" fillId="8" borderId="51" xfId="0" applyNumberFormat="1" applyFont="1" applyFill="1" applyBorder="1" applyAlignment="1" applyProtection="1">
      <alignment horizontal="center" vertical="center"/>
      <protection locked="0"/>
    </xf>
    <xf numFmtId="165" fontId="7" fillId="8" borderId="33" xfId="0" applyNumberFormat="1" applyFont="1" applyFill="1" applyBorder="1" applyAlignment="1" applyProtection="1">
      <alignment horizontal="center" vertical="center"/>
      <protection locked="0"/>
    </xf>
    <xf numFmtId="165" fontId="7" fillId="8" borderId="49" xfId="0" applyNumberFormat="1" applyFont="1" applyFill="1" applyBorder="1" applyAlignment="1" applyProtection="1">
      <alignment horizontal="center" vertical="center"/>
      <protection locked="0"/>
    </xf>
    <xf numFmtId="165" fontId="7" fillId="8" borderId="45" xfId="0" applyNumberFormat="1" applyFont="1" applyFill="1" applyBorder="1" applyAlignment="1" applyProtection="1">
      <alignment horizontal="center" vertical="center"/>
      <protection locked="0"/>
    </xf>
    <xf numFmtId="0" fontId="11" fillId="7" borderId="13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171" fontId="11" fillId="7" borderId="28" xfId="0" applyNumberFormat="1" applyFont="1" applyFill="1" applyBorder="1" applyAlignment="1">
      <alignment horizontal="center" vertical="center"/>
    </xf>
    <xf numFmtId="171" fontId="11" fillId="7" borderId="29" xfId="0" applyNumberFormat="1" applyFont="1" applyFill="1" applyBorder="1" applyAlignment="1">
      <alignment horizontal="center" vertical="center"/>
    </xf>
    <xf numFmtId="171" fontId="11" fillId="7" borderId="27" xfId="0" applyNumberFormat="1" applyFont="1" applyFill="1" applyBorder="1" applyAlignment="1">
      <alignment horizontal="center" vertical="center"/>
    </xf>
    <xf numFmtId="173" fontId="11" fillId="7" borderId="2" xfId="0" applyNumberFormat="1" applyFont="1" applyFill="1" applyBorder="1" applyAlignment="1">
      <alignment horizontal="center" vertical="center"/>
    </xf>
    <xf numFmtId="173" fontId="11" fillId="7" borderId="3" xfId="0" applyNumberFormat="1" applyFont="1" applyFill="1" applyBorder="1" applyAlignment="1">
      <alignment horizontal="center" vertical="center"/>
    </xf>
    <xf numFmtId="173" fontId="11" fillId="7" borderId="4" xfId="0" applyNumberFormat="1" applyFont="1" applyFill="1" applyBorder="1" applyAlignment="1">
      <alignment horizontal="center" vertical="center"/>
    </xf>
    <xf numFmtId="171" fontId="11" fillId="7" borderId="5" xfId="0" applyNumberFormat="1" applyFont="1" applyFill="1" applyBorder="1" applyAlignment="1">
      <alignment horizontal="center" vertical="center"/>
    </xf>
    <xf numFmtId="171" fontId="11" fillId="7" borderId="23" xfId="0" applyNumberFormat="1" applyFont="1" applyFill="1" applyBorder="1" applyAlignment="1">
      <alignment horizontal="center" vertical="center"/>
    </xf>
    <xf numFmtId="171" fontId="11" fillId="7" borderId="24" xfId="0" applyNumberFormat="1" applyFont="1" applyFill="1" applyBorder="1" applyAlignment="1">
      <alignment horizontal="center" vertical="center"/>
    </xf>
    <xf numFmtId="165" fontId="32" fillId="9" borderId="16" xfId="0" applyNumberFormat="1" applyFont="1" applyFill="1" applyBorder="1" applyAlignment="1">
      <alignment horizontal="center" vertical="center"/>
    </xf>
    <xf numFmtId="165" fontId="32" fillId="9" borderId="17" xfId="0" applyNumberFormat="1" applyFont="1" applyFill="1" applyBorder="1" applyAlignment="1">
      <alignment horizontal="center" vertical="center"/>
    </xf>
    <xf numFmtId="167" fontId="32" fillId="9" borderId="18" xfId="0" applyNumberFormat="1" applyFont="1" applyFill="1" applyBorder="1" applyAlignment="1">
      <alignment horizontal="center" vertical="center"/>
    </xf>
    <xf numFmtId="167" fontId="32" fillId="9" borderId="33" xfId="0" applyNumberFormat="1" applyFont="1" applyFill="1" applyBorder="1" applyAlignment="1">
      <alignment horizontal="center" vertical="center"/>
    </xf>
    <xf numFmtId="167" fontId="32" fillId="9" borderId="13" xfId="0" applyNumberFormat="1" applyFont="1" applyFill="1" applyBorder="1" applyAlignment="1">
      <alignment horizontal="center" vertical="center"/>
    </xf>
    <xf numFmtId="167" fontId="32" fillId="9" borderId="9" xfId="0" applyNumberFormat="1" applyFont="1" applyFill="1" applyBorder="1" applyAlignment="1">
      <alignment horizontal="center" vertical="center"/>
    </xf>
    <xf numFmtId="171" fontId="7" fillId="9" borderId="5" xfId="0" applyNumberFormat="1" applyFont="1" applyFill="1" applyBorder="1" applyAlignment="1">
      <alignment horizontal="center" vertical="center"/>
    </xf>
    <xf numFmtId="171" fontId="7" fillId="9" borderId="23" xfId="0" applyNumberFormat="1" applyFont="1" applyFill="1" applyBorder="1" applyAlignment="1">
      <alignment horizontal="center" vertical="center"/>
    </xf>
    <xf numFmtId="171" fontId="7" fillId="9" borderId="24" xfId="0" applyNumberFormat="1" applyFont="1" applyFill="1" applyBorder="1" applyAlignment="1">
      <alignment horizontal="center" vertical="center"/>
    </xf>
    <xf numFmtId="167" fontId="32" fillId="9" borderId="11" xfId="0" applyNumberFormat="1" applyFont="1" applyFill="1" applyBorder="1" applyAlignment="1">
      <alignment horizontal="center" vertical="center"/>
    </xf>
    <xf numFmtId="167" fontId="32" fillId="9" borderId="35" xfId="0" applyNumberFormat="1" applyFont="1" applyFill="1" applyBorder="1" applyAlignment="1">
      <alignment horizontal="center" vertical="center"/>
    </xf>
    <xf numFmtId="167" fontId="7" fillId="8" borderId="2" xfId="0" applyNumberFormat="1" applyFont="1" applyFill="1" applyBorder="1" applyAlignment="1" applyProtection="1">
      <alignment horizontal="center" vertical="center"/>
      <protection locked="0"/>
    </xf>
    <xf numFmtId="167" fontId="7" fillId="8" borderId="4" xfId="0" applyNumberFormat="1" applyFont="1" applyFill="1" applyBorder="1" applyAlignment="1" applyProtection="1">
      <alignment horizontal="center" vertical="center"/>
      <protection locked="0"/>
    </xf>
    <xf numFmtId="167" fontId="7" fillId="8" borderId="7" xfId="0" applyNumberFormat="1" applyFont="1" applyFill="1" applyBorder="1" applyAlignment="1" applyProtection="1">
      <alignment horizontal="center" vertical="center"/>
      <protection locked="0"/>
    </xf>
    <xf numFmtId="167" fontId="7" fillId="8" borderId="26" xfId="0" applyNumberFormat="1" applyFont="1" applyFill="1" applyBorder="1" applyAlignment="1" applyProtection="1">
      <alignment horizontal="center" vertical="center"/>
      <protection locked="0"/>
    </xf>
    <xf numFmtId="164" fontId="7" fillId="9" borderId="13" xfId="0" applyNumberFormat="1" applyFont="1" applyFill="1" applyBorder="1" applyAlignment="1">
      <alignment horizontal="center" vertical="center"/>
    </xf>
    <xf numFmtId="0" fontId="7" fillId="9" borderId="9" xfId="0" applyFont="1" applyFill="1" applyBorder="1" applyAlignment="1">
      <alignment vertical="center"/>
    </xf>
    <xf numFmtId="171" fontId="7" fillId="9" borderId="7" xfId="0" applyNumberFormat="1" applyFont="1" applyFill="1" applyBorder="1" applyAlignment="1">
      <alignment horizontal="center" vertical="center"/>
    </xf>
    <xf numFmtId="171" fontId="7" fillId="9" borderId="25" xfId="0" applyNumberFormat="1" applyFont="1" applyFill="1" applyBorder="1" applyAlignment="1">
      <alignment horizontal="center" vertical="center"/>
    </xf>
    <xf numFmtId="171" fontId="7" fillId="9" borderId="26" xfId="0" applyNumberFormat="1" applyFont="1" applyFill="1" applyBorder="1" applyAlignment="1">
      <alignment horizontal="center" vertical="center"/>
    </xf>
    <xf numFmtId="171" fontId="7" fillId="9" borderId="2" xfId="0" applyNumberFormat="1" applyFont="1" applyFill="1" applyBorder="1" applyAlignment="1">
      <alignment horizontal="center" vertical="center"/>
    </xf>
    <xf numFmtId="171" fontId="7" fillId="9" borderId="3" xfId="0" applyNumberFormat="1" applyFont="1" applyFill="1" applyBorder="1" applyAlignment="1">
      <alignment horizontal="center" vertical="center"/>
    </xf>
    <xf numFmtId="171" fontId="7" fillId="9" borderId="4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25" fillId="7" borderId="18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0" fillId="7" borderId="46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167" fontId="32" fillId="9" borderId="53" xfId="0" applyNumberFormat="1" applyFont="1" applyFill="1" applyBorder="1" applyAlignment="1">
      <alignment horizontal="center" vertical="center"/>
    </xf>
    <xf numFmtId="167" fontId="32" fillId="9" borderId="48" xfId="0" applyNumberFormat="1" applyFont="1" applyFill="1" applyBorder="1" applyAlignment="1">
      <alignment horizontal="center" vertical="center"/>
    </xf>
    <xf numFmtId="165" fontId="32" fillId="9" borderId="13" xfId="0" applyNumberFormat="1" applyFont="1" applyFill="1" applyBorder="1" applyAlignment="1">
      <alignment horizontal="center" vertical="center"/>
    </xf>
    <xf numFmtId="165" fontId="32" fillId="9" borderId="9" xfId="0" applyNumberFormat="1" applyFont="1" applyFill="1" applyBorder="1" applyAlignment="1">
      <alignment horizontal="center" vertical="center"/>
    </xf>
    <xf numFmtId="167" fontId="7" fillId="8" borderId="51" xfId="0" applyNumberFormat="1" applyFont="1" applyFill="1" applyBorder="1" applyAlignment="1" applyProtection="1">
      <alignment horizontal="center" vertical="center"/>
      <protection locked="0"/>
    </xf>
    <xf numFmtId="167" fontId="7" fillId="8" borderId="33" xfId="0" applyNumberFormat="1" applyFont="1" applyFill="1" applyBorder="1" applyAlignment="1" applyProtection="1">
      <alignment horizontal="center" vertical="center"/>
      <protection locked="0"/>
    </xf>
    <xf numFmtId="0" fontId="0" fillId="9" borderId="11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167" fontId="11" fillId="7" borderId="7" xfId="0" applyNumberFormat="1" applyFont="1" applyFill="1" applyBorder="1" applyAlignment="1">
      <alignment horizontal="center" vertical="center"/>
    </xf>
    <xf numFmtId="167" fontId="11" fillId="7" borderId="25" xfId="0" applyNumberFormat="1" applyFont="1" applyFill="1" applyBorder="1" applyAlignment="1">
      <alignment horizontal="center" vertical="center"/>
    </xf>
    <xf numFmtId="167" fontId="11" fillId="7" borderId="26" xfId="0" applyNumberFormat="1" applyFont="1" applyFill="1" applyBorder="1" applyAlignment="1">
      <alignment horizontal="center" vertical="center"/>
    </xf>
    <xf numFmtId="167" fontId="7" fillId="8" borderId="5" xfId="0" applyNumberFormat="1" applyFont="1" applyFill="1" applyBorder="1" applyAlignment="1" applyProtection="1">
      <alignment horizontal="center" vertical="center"/>
      <protection locked="0"/>
    </xf>
    <xf numFmtId="167" fontId="7" fillId="8" borderId="24" xfId="0" applyNumberFormat="1" applyFont="1" applyFill="1" applyBorder="1" applyAlignment="1" applyProtection="1">
      <alignment horizontal="center" vertical="center"/>
      <protection locked="0"/>
    </xf>
    <xf numFmtId="0" fontId="7" fillId="10" borderId="31" xfId="0" applyFont="1" applyFill="1" applyBorder="1" applyAlignment="1">
      <alignment horizontal="center" vertical="center"/>
    </xf>
    <xf numFmtId="14" fontId="24" fillId="8" borderId="19" xfId="0" applyNumberFormat="1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1" fillId="7" borderId="15" xfId="0" applyFont="1" applyFill="1" applyBorder="1" applyAlignment="1">
      <alignment horizontal="center" vertical="center"/>
    </xf>
    <xf numFmtId="164" fontId="7" fillId="9" borderId="53" xfId="0" applyNumberFormat="1" applyFont="1" applyFill="1" applyBorder="1" applyAlignment="1">
      <alignment horizontal="center" vertical="center"/>
    </xf>
    <xf numFmtId="164" fontId="7" fillId="9" borderId="54" xfId="0" applyNumberFormat="1" applyFont="1" applyFill="1" applyBorder="1" applyAlignment="1">
      <alignment horizontal="center" vertical="center"/>
    </xf>
    <xf numFmtId="165" fontId="7" fillId="9" borderId="13" xfId="0" applyNumberFormat="1" applyFont="1" applyFill="1" applyBorder="1" applyAlignment="1">
      <alignment horizontal="center" vertical="center"/>
    </xf>
    <xf numFmtId="165" fontId="7" fillId="9" borderId="8" xfId="0" applyNumberFormat="1" applyFont="1" applyFill="1" applyBorder="1" applyAlignment="1">
      <alignment horizontal="center" vertical="center"/>
    </xf>
    <xf numFmtId="165" fontId="7" fillId="9" borderId="9" xfId="0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169" fontId="7" fillId="9" borderId="13" xfId="0" applyNumberFormat="1" applyFont="1" applyFill="1" applyBorder="1" applyAlignment="1">
      <alignment horizontal="center" vertical="center"/>
    </xf>
    <xf numFmtId="169" fontId="7" fillId="9" borderId="8" xfId="0" applyNumberFormat="1" applyFont="1" applyFill="1" applyBorder="1" applyAlignment="1">
      <alignment horizontal="center" vertical="center"/>
    </xf>
    <xf numFmtId="169" fontId="7" fillId="9" borderId="9" xfId="0" applyNumberFormat="1" applyFont="1" applyFill="1" applyBorder="1" applyAlignment="1">
      <alignment horizontal="center" vertical="center"/>
    </xf>
    <xf numFmtId="170" fontId="7" fillId="9" borderId="46" xfId="0" applyNumberFormat="1" applyFont="1" applyFill="1" applyBorder="1" applyAlignment="1">
      <alignment horizontal="center" vertical="center"/>
    </xf>
    <xf numFmtId="170" fontId="7" fillId="9" borderId="47" xfId="0" applyNumberFormat="1" applyFont="1" applyFill="1" applyBorder="1" applyAlignment="1">
      <alignment horizontal="center" vertical="center"/>
    </xf>
    <xf numFmtId="170" fontId="7" fillId="9" borderId="48" xfId="0" applyNumberFormat="1" applyFont="1" applyFill="1" applyBorder="1" applyAlignment="1">
      <alignment horizontal="center" vertical="center"/>
    </xf>
    <xf numFmtId="164" fontId="7" fillId="8" borderId="43" xfId="0" applyNumberFormat="1" applyFont="1" applyFill="1" applyBorder="1" applyAlignment="1" applyProtection="1">
      <alignment horizontal="center" vertical="center"/>
      <protection locked="0"/>
    </xf>
    <xf numFmtId="164" fontId="7" fillId="8" borderId="44" xfId="0" applyNumberFormat="1" applyFont="1" applyFill="1" applyBorder="1" applyAlignment="1" applyProtection="1">
      <alignment horizontal="center" vertical="center"/>
      <protection locked="0"/>
    </xf>
    <xf numFmtId="164" fontId="7" fillId="8" borderId="45" xfId="0" applyNumberFormat="1" applyFont="1" applyFill="1" applyBorder="1" applyAlignment="1" applyProtection="1">
      <alignment horizontal="center" vertical="center"/>
      <protection locked="0"/>
    </xf>
    <xf numFmtId="0" fontId="25" fillId="7" borderId="17" xfId="0" applyFont="1" applyFill="1" applyBorder="1" applyAlignment="1">
      <alignment horizontal="center" vertical="center" wrapText="1"/>
    </xf>
    <xf numFmtId="0" fontId="25" fillId="7" borderId="35" xfId="0" applyFont="1" applyFill="1" applyBorder="1" applyAlignment="1">
      <alignment horizontal="center" vertical="center" wrapText="1"/>
    </xf>
    <xf numFmtId="164" fontId="7" fillId="9" borderId="49" xfId="0" applyNumberFormat="1" applyFont="1" applyFill="1" applyBorder="1" applyAlignment="1">
      <alignment horizontal="center" vertical="center"/>
    </xf>
    <xf numFmtId="164" fontId="7" fillId="9" borderId="50" xfId="0" applyNumberFormat="1" applyFont="1" applyFill="1" applyBorder="1" applyAlignment="1">
      <alignment horizontal="center" vertical="center"/>
    </xf>
    <xf numFmtId="164" fontId="7" fillId="9" borderId="51" xfId="0" applyNumberFormat="1" applyFont="1" applyFill="1" applyBorder="1" applyAlignment="1">
      <alignment horizontal="center" vertical="center"/>
    </xf>
    <xf numFmtId="164" fontId="7" fillId="9" borderId="52" xfId="0" applyNumberFormat="1" applyFont="1" applyFill="1" applyBorder="1" applyAlignment="1">
      <alignment horizontal="center" vertical="center"/>
    </xf>
    <xf numFmtId="165" fontId="7" fillId="9" borderId="49" xfId="0" applyNumberFormat="1" applyFont="1" applyFill="1" applyBorder="1" applyAlignment="1">
      <alignment horizontal="center" vertical="center"/>
    </xf>
    <xf numFmtId="165" fontId="7" fillId="9" borderId="50" xfId="0" applyNumberFormat="1" applyFont="1" applyFill="1" applyBorder="1" applyAlignment="1">
      <alignment horizontal="center" vertical="center"/>
    </xf>
    <xf numFmtId="165" fontId="7" fillId="9" borderId="51" xfId="0" applyNumberFormat="1" applyFont="1" applyFill="1" applyBorder="1" applyAlignment="1">
      <alignment horizontal="center" vertical="center"/>
    </xf>
    <xf numFmtId="165" fontId="7" fillId="9" borderId="52" xfId="0" applyNumberFormat="1" applyFont="1" applyFill="1" applyBorder="1" applyAlignment="1">
      <alignment horizontal="center" vertical="center"/>
    </xf>
    <xf numFmtId="165" fontId="7" fillId="9" borderId="53" xfId="0" applyNumberFormat="1" applyFont="1" applyFill="1" applyBorder="1" applyAlignment="1">
      <alignment horizontal="center" vertical="center"/>
    </xf>
    <xf numFmtId="165" fontId="7" fillId="9" borderId="54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164" fontId="32" fillId="9" borderId="13" xfId="0" applyNumberFormat="1" applyFont="1" applyFill="1" applyBorder="1" applyAlignment="1">
      <alignment horizontal="center" vertical="center"/>
    </xf>
    <xf numFmtId="164" fontId="32" fillId="9" borderId="8" xfId="0" applyNumberFormat="1" applyFont="1" applyFill="1" applyBorder="1" applyAlignment="1">
      <alignment horizontal="center" vertical="center"/>
    </xf>
    <xf numFmtId="164" fontId="32" fillId="9" borderId="9" xfId="0" applyNumberFormat="1" applyFont="1" applyFill="1" applyBorder="1" applyAlignment="1">
      <alignment horizontal="center" vertical="center"/>
    </xf>
    <xf numFmtId="167" fontId="7" fillId="8" borderId="19" xfId="0" applyNumberFormat="1" applyFont="1" applyFill="1" applyBorder="1" applyAlignment="1" applyProtection="1">
      <alignment horizontal="center" vertical="center"/>
      <protection locked="0"/>
    </xf>
    <xf numFmtId="167" fontId="7" fillId="8" borderId="52" xfId="0" applyNumberFormat="1" applyFont="1" applyFill="1" applyBorder="1" applyAlignment="1" applyProtection="1">
      <alignment horizontal="center" vertical="center"/>
      <protection locked="0"/>
    </xf>
    <xf numFmtId="167" fontId="32" fillId="9" borderId="47" xfId="0" applyNumberFormat="1" applyFont="1" applyFill="1" applyBorder="1" applyAlignment="1">
      <alignment horizontal="center" vertical="center"/>
    </xf>
    <xf numFmtId="167" fontId="32" fillId="9" borderId="54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25" fillId="7" borderId="43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167" fontId="7" fillId="8" borderId="45" xfId="0" applyNumberFormat="1" applyFont="1" applyFill="1" applyBorder="1" applyAlignment="1" applyProtection="1">
      <alignment horizontal="center" vertical="center"/>
      <protection locked="0"/>
    </xf>
    <xf numFmtId="4" fontId="0" fillId="8" borderId="13" xfId="0" applyNumberFormat="1" applyFill="1" applyBorder="1" applyAlignment="1" applyProtection="1">
      <alignment horizontal="center" vertical="center"/>
      <protection locked="0"/>
    </xf>
    <xf numFmtId="4" fontId="0" fillId="8" borderId="8" xfId="0" applyNumberFormat="1" applyFill="1" applyBorder="1" applyAlignment="1" applyProtection="1">
      <alignment horizontal="center" vertical="center"/>
      <protection locked="0"/>
    </xf>
    <xf numFmtId="4" fontId="0" fillId="8" borderId="9" xfId="0" applyNumberFormat="1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center" vertical="center"/>
      <protection locked="0"/>
    </xf>
    <xf numFmtId="0" fontId="0" fillId="8" borderId="24" xfId="0" applyFill="1" applyBorder="1" applyAlignment="1" applyProtection="1">
      <alignment horizontal="center" vertical="center"/>
      <protection locked="0"/>
    </xf>
    <xf numFmtId="0" fontId="0" fillId="8" borderId="25" xfId="0" applyFill="1" applyBorder="1" applyAlignment="1" applyProtection="1">
      <alignment horizontal="center" vertical="center"/>
      <protection locked="0"/>
    </xf>
    <xf numFmtId="0" fontId="0" fillId="8" borderId="26" xfId="0" applyFill="1" applyBorder="1" applyAlignment="1" applyProtection="1">
      <alignment horizontal="center" vertical="center"/>
      <protection locked="0"/>
    </xf>
    <xf numFmtId="0" fontId="0" fillId="9" borderId="46" xfId="0" applyFill="1" applyBorder="1" applyAlignment="1">
      <alignment horizontal="center"/>
    </xf>
    <xf numFmtId="0" fontId="39" fillId="12" borderId="0" xfId="0" applyFont="1" applyFill="1" applyAlignment="1">
      <alignment horizontal="center" vertical="center" indent="1"/>
    </xf>
    <xf numFmtId="0" fontId="0" fillId="12" borderId="0" xfId="0" applyFill="1" applyAlignment="1">
      <alignment horizontal="center" vertical="center" indent="1"/>
    </xf>
    <xf numFmtId="0" fontId="39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/>
    <xf numFmtId="0" fontId="0" fillId="8" borderId="0" xfId="0" applyFill="1" applyAlignment="1" applyProtection="1">
      <alignment horizontal="center"/>
      <protection locked="0"/>
    </xf>
    <xf numFmtId="0" fontId="42" fillId="15" borderId="0" xfId="0" applyFont="1" applyFill="1" applyAlignment="1">
      <alignment horizontal="center" vertical="center"/>
    </xf>
    <xf numFmtId="167" fontId="32" fillId="9" borderId="5" xfId="0" applyNumberFormat="1" applyFont="1" applyFill="1" applyBorder="1" applyAlignment="1">
      <alignment horizontal="center" vertical="center"/>
    </xf>
    <xf numFmtId="167" fontId="32" fillId="9" borderId="24" xfId="0" applyNumberFormat="1" applyFont="1" applyFill="1" applyBorder="1" applyAlignment="1">
      <alignment horizontal="center" vertical="center"/>
    </xf>
    <xf numFmtId="165" fontId="37" fillId="0" borderId="0" xfId="0" applyNumberFormat="1" applyFont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167" fontId="7" fillId="9" borderId="28" xfId="0" applyNumberFormat="1" applyFont="1" applyFill="1" applyBorder="1" applyAlignment="1">
      <alignment horizontal="center" vertical="center"/>
    </xf>
    <xf numFmtId="167" fontId="7" fillId="9" borderId="27" xfId="0" applyNumberFormat="1" applyFont="1" applyFill="1" applyBorder="1" applyAlignment="1">
      <alignment horizontal="center" vertical="center"/>
    </xf>
    <xf numFmtId="0" fontId="11" fillId="7" borderId="28" xfId="0" applyFont="1" applyFill="1" applyBorder="1" applyAlignment="1" applyProtection="1">
      <alignment horizontal="center" vertical="center"/>
      <protection locked="0"/>
    </xf>
    <xf numFmtId="0" fontId="11" fillId="7" borderId="12" xfId="0" applyFont="1" applyFill="1" applyBorder="1" applyAlignment="1" applyProtection="1">
      <alignment horizontal="center" vertical="center"/>
      <protection locked="0"/>
    </xf>
    <xf numFmtId="0" fontId="11" fillId="7" borderId="27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167" fontId="0" fillId="11" borderId="28" xfId="0" applyNumberFormat="1" applyFill="1" applyBorder="1" applyAlignment="1" applyProtection="1">
      <alignment horizontal="center" vertical="center"/>
      <protection locked="0"/>
    </xf>
    <xf numFmtId="167" fontId="0" fillId="11" borderId="27" xfId="0" applyNumberFormat="1" applyFill="1" applyBorder="1" applyAlignment="1" applyProtection="1">
      <alignment horizontal="center" vertical="center"/>
      <protection locked="0"/>
    </xf>
    <xf numFmtId="167" fontId="7" fillId="9" borderId="43" xfId="0" applyNumberFormat="1" applyFont="1" applyFill="1" applyBorder="1" applyAlignment="1">
      <alignment horizontal="center" vertical="center"/>
    </xf>
    <xf numFmtId="167" fontId="7" fillId="9" borderId="45" xfId="0" applyNumberFormat="1" applyFont="1" applyFill="1" applyBorder="1" applyAlignment="1">
      <alignment horizontal="center" vertical="center"/>
    </xf>
    <xf numFmtId="167" fontId="7" fillId="9" borderId="46" xfId="0" applyNumberFormat="1" applyFont="1" applyFill="1" applyBorder="1" applyAlignment="1">
      <alignment horizontal="center" vertical="center"/>
    </xf>
    <xf numFmtId="167" fontId="7" fillId="9" borderId="48" xfId="0" applyNumberFormat="1" applyFont="1" applyFill="1" applyBorder="1" applyAlignment="1">
      <alignment horizontal="center" vertical="center"/>
    </xf>
    <xf numFmtId="167" fontId="7" fillId="8" borderId="43" xfId="0" applyNumberFormat="1" applyFont="1" applyFill="1" applyBorder="1" applyAlignment="1" applyProtection="1">
      <alignment horizontal="center" vertical="center"/>
      <protection locked="0"/>
    </xf>
    <xf numFmtId="167" fontId="7" fillId="8" borderId="46" xfId="0" applyNumberFormat="1" applyFont="1" applyFill="1" applyBorder="1" applyAlignment="1" applyProtection="1">
      <alignment horizontal="center" vertical="top"/>
      <protection locked="0"/>
    </xf>
    <xf numFmtId="167" fontId="7" fillId="8" borderId="48" xfId="0" applyNumberFormat="1" applyFont="1" applyFill="1" applyBorder="1" applyAlignment="1" applyProtection="1">
      <alignment horizontal="center" vertical="top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164" fontId="7" fillId="9" borderId="59" xfId="0" applyNumberFormat="1" applyFont="1" applyFill="1" applyBorder="1" applyAlignment="1">
      <alignment horizontal="center" vertical="center"/>
    </xf>
    <xf numFmtId="164" fontId="7" fillId="9" borderId="60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67" fontId="7" fillId="9" borderId="13" xfId="0" applyNumberFormat="1" applyFont="1" applyFill="1" applyBorder="1" applyAlignment="1">
      <alignment horizontal="center" vertical="center"/>
    </xf>
    <xf numFmtId="167" fontId="7" fillId="9" borderId="9" xfId="0" applyNumberFormat="1" applyFont="1" applyFill="1" applyBorder="1" applyAlignment="1">
      <alignment horizontal="center" vertical="center"/>
    </xf>
    <xf numFmtId="164" fontId="7" fillId="8" borderId="5" xfId="0" applyNumberFormat="1" applyFont="1" applyFill="1" applyBorder="1" applyAlignment="1" applyProtection="1">
      <alignment horizontal="center" vertical="center"/>
      <protection locked="0"/>
    </xf>
    <xf numFmtId="164" fontId="7" fillId="8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65" xfId="0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164" fontId="7" fillId="9" borderId="29" xfId="0" applyNumberFormat="1" applyFont="1" applyFill="1" applyBorder="1" applyAlignment="1">
      <alignment horizontal="center" vertical="center"/>
    </xf>
    <xf numFmtId="164" fontId="7" fillId="9" borderId="27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34" xfId="0" quotePrefix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4" fontId="7" fillId="8" borderId="47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Alignment="1">
      <alignment horizontal="center"/>
    </xf>
    <xf numFmtId="0" fontId="0" fillId="8" borderId="7" xfId="0" applyFill="1" applyBorder="1" applyAlignment="1" applyProtection="1">
      <alignment horizontal="center" vertical="center"/>
      <protection locked="0"/>
    </xf>
    <xf numFmtId="167" fontId="0" fillId="8" borderId="63" xfId="0" applyNumberFormat="1" applyFill="1" applyBorder="1" applyAlignment="1" applyProtection="1">
      <alignment horizontal="center" vertical="center"/>
      <protection locked="0"/>
    </xf>
    <xf numFmtId="167" fontId="0" fillId="8" borderId="64" xfId="0" applyNumberFormat="1" applyFill="1" applyBorder="1" applyAlignment="1" applyProtection="1">
      <alignment horizontal="center" vertical="center"/>
      <protection locked="0"/>
    </xf>
    <xf numFmtId="172" fontId="0" fillId="9" borderId="53" xfId="0" applyNumberFormat="1" applyFill="1" applyBorder="1" applyAlignment="1">
      <alignment horizontal="center" vertical="center"/>
    </xf>
    <xf numFmtId="172" fontId="0" fillId="9" borderId="48" xfId="0" applyNumberForma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2" fontId="0" fillId="9" borderId="11" xfId="0" applyNumberFormat="1" applyFill="1" applyBorder="1" applyAlignment="1">
      <alignment horizontal="center" vertical="center"/>
    </xf>
    <xf numFmtId="2" fontId="0" fillId="9" borderId="35" xfId="0" applyNumberFormat="1" applyFill="1" applyBorder="1" applyAlignment="1">
      <alignment horizontal="center" vertical="center"/>
    </xf>
    <xf numFmtId="167" fontId="32" fillId="9" borderId="46" xfId="0" applyNumberFormat="1" applyFont="1" applyFill="1" applyBorder="1" applyAlignment="1">
      <alignment horizontal="center" vertical="center"/>
    </xf>
    <xf numFmtId="4" fontId="7" fillId="11" borderId="5" xfId="0" applyNumberFormat="1" applyFont="1" applyFill="1" applyBorder="1" applyAlignment="1" applyProtection="1">
      <alignment horizontal="center" vertical="center"/>
      <protection locked="0"/>
    </xf>
    <xf numFmtId="4" fontId="7" fillId="11" borderId="2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26" xfId="0" applyNumberFormat="1" applyFont="1" applyFill="1" applyBorder="1" applyAlignment="1" applyProtection="1">
      <alignment horizontal="center" vertical="center"/>
      <protection locked="0"/>
    </xf>
    <xf numFmtId="167" fontId="7" fillId="11" borderId="2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32" fillId="9" borderId="43" xfId="0" applyNumberFormat="1" applyFont="1" applyFill="1" applyBorder="1" applyAlignment="1">
      <alignment horizontal="center" vertical="center"/>
    </xf>
    <xf numFmtId="167" fontId="32" fillId="9" borderId="45" xfId="0" applyNumberFormat="1" applyFont="1" applyFill="1" applyBorder="1" applyAlignment="1">
      <alignment horizontal="center" vertical="center"/>
    </xf>
    <xf numFmtId="2" fontId="0" fillId="9" borderId="46" xfId="0" applyNumberFormat="1" applyFill="1" applyBorder="1" applyAlignment="1">
      <alignment horizontal="center" vertical="center"/>
    </xf>
    <xf numFmtId="2" fontId="0" fillId="9" borderId="48" xfId="0" applyNumberForma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52" xfId="0" applyFont="1" applyFill="1" applyBorder="1" applyAlignment="1">
      <alignment horizontal="center" vertical="center"/>
    </xf>
    <xf numFmtId="14" fontId="7" fillId="8" borderId="19" xfId="0" applyNumberFormat="1" applyFont="1" applyFill="1" applyBorder="1" applyAlignment="1" applyProtection="1">
      <alignment horizontal="center" vertical="center"/>
      <protection locked="0"/>
    </xf>
    <xf numFmtId="0" fontId="7" fillId="8" borderId="19" xfId="0" applyFont="1" applyFill="1" applyBorder="1" applyAlignment="1" applyProtection="1">
      <alignment horizontal="center" vertical="center"/>
      <protection locked="0"/>
    </xf>
    <xf numFmtId="165" fontId="7" fillId="8" borderId="44" xfId="0" applyNumberFormat="1" applyFont="1" applyFill="1" applyBorder="1" applyAlignment="1" applyProtection="1">
      <alignment horizontal="center" vertical="center"/>
      <protection locked="0"/>
    </xf>
    <xf numFmtId="165" fontId="7" fillId="8" borderId="50" xfId="0" applyNumberFormat="1" applyFont="1" applyFill="1" applyBorder="1" applyAlignment="1" applyProtection="1">
      <alignment horizontal="center" vertical="center"/>
      <protection locked="0"/>
    </xf>
    <xf numFmtId="4" fontId="7" fillId="11" borderId="2" xfId="0" applyNumberFormat="1" applyFont="1" applyFill="1" applyBorder="1" applyAlignment="1" applyProtection="1">
      <alignment horizontal="center" vertical="center"/>
      <protection locked="0"/>
    </xf>
    <xf numFmtId="4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11" fillId="7" borderId="5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165" fontId="7" fillId="8" borderId="19" xfId="0" applyNumberFormat="1" applyFont="1" applyFill="1" applyBorder="1" applyAlignment="1" applyProtection="1">
      <alignment horizontal="center" vertical="center"/>
      <protection locked="0"/>
    </xf>
    <xf numFmtId="165" fontId="7" fillId="8" borderId="52" xfId="0" applyNumberFormat="1" applyFont="1" applyFill="1" applyBorder="1" applyAlignment="1" applyProtection="1">
      <alignment horizontal="center" vertical="center"/>
      <protection locked="0"/>
    </xf>
    <xf numFmtId="165" fontId="7" fillId="11" borderId="51" xfId="0" applyNumberFormat="1" applyFont="1" applyFill="1" applyBorder="1" applyAlignment="1" applyProtection="1">
      <alignment horizontal="center" vertical="center"/>
      <protection locked="0"/>
    </xf>
    <xf numFmtId="165" fontId="7" fillId="11" borderId="33" xfId="0" applyNumberFormat="1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>
      <alignment horizontal="left" vertical="center"/>
    </xf>
    <xf numFmtId="0" fontId="7" fillId="3" borderId="35" xfId="0" applyFont="1" applyFill="1" applyBorder="1" applyAlignment="1">
      <alignment horizontal="left" vertical="center"/>
    </xf>
    <xf numFmtId="165" fontId="7" fillId="3" borderId="56" xfId="0" applyNumberFormat="1" applyFont="1" applyFill="1" applyBorder="1" applyAlignment="1">
      <alignment horizontal="left" vertical="center"/>
    </xf>
    <xf numFmtId="165" fontId="7" fillId="3" borderId="0" xfId="0" applyNumberFormat="1" applyFont="1" applyFill="1" applyAlignment="1">
      <alignment horizontal="left" vertical="center"/>
    </xf>
    <xf numFmtId="165" fontId="7" fillId="3" borderId="57" xfId="0" applyNumberFormat="1" applyFont="1" applyFill="1" applyBorder="1" applyAlignment="1">
      <alignment horizontal="left" vertical="center"/>
    </xf>
    <xf numFmtId="0" fontId="11" fillId="7" borderId="43" xfId="0" applyFont="1" applyFill="1" applyBorder="1" applyAlignment="1">
      <alignment horizontal="center" vertical="center"/>
    </xf>
    <xf numFmtId="0" fontId="11" fillId="7" borderId="50" xfId="0" applyFont="1" applyFill="1" applyBorder="1" applyAlignment="1">
      <alignment horizontal="center" vertical="center"/>
    </xf>
    <xf numFmtId="165" fontId="7" fillId="11" borderId="49" xfId="0" applyNumberFormat="1" applyFont="1" applyFill="1" applyBorder="1" applyAlignment="1" applyProtection="1">
      <alignment horizontal="center" vertical="center"/>
      <protection locked="0"/>
    </xf>
    <xf numFmtId="165" fontId="7" fillId="11" borderId="45" xfId="0" applyNumberFormat="1" applyFont="1" applyFill="1" applyBorder="1" applyAlignment="1" applyProtection="1">
      <alignment horizontal="center" vertical="center"/>
      <protection locked="0"/>
    </xf>
    <xf numFmtId="0" fontId="11" fillId="7" borderId="54" xfId="0" applyFont="1" applyFill="1" applyBorder="1" applyAlignment="1">
      <alignment horizontal="center" vertical="center"/>
    </xf>
    <xf numFmtId="0" fontId="11" fillId="7" borderId="46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40" xfId="0" applyFont="1" applyFill="1" applyBorder="1" applyAlignment="1">
      <alignment horizontal="left" vertical="center"/>
    </xf>
    <xf numFmtId="4" fontId="32" fillId="9" borderId="53" xfId="0" applyNumberFormat="1" applyFont="1" applyFill="1" applyBorder="1" applyAlignment="1">
      <alignment horizontal="center" vertical="center"/>
    </xf>
    <xf numFmtId="4" fontId="32" fillId="9" borderId="47" xfId="0" applyNumberFormat="1" applyFont="1" applyFill="1" applyBorder="1" applyAlignment="1">
      <alignment horizontal="center" vertical="center"/>
    </xf>
    <xf numFmtId="4" fontId="32" fillId="9" borderId="54" xfId="0" applyNumberFormat="1" applyFont="1" applyFill="1" applyBorder="1" applyAlignment="1">
      <alignment horizontal="center" vertical="center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51" xfId="0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67" fontId="9" fillId="0" borderId="3" xfId="0" applyNumberFormat="1" applyFont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34" xfId="0" applyBorder="1" applyAlignment="1">
      <alignment horizontal="center"/>
    </xf>
    <xf numFmtId="0" fontId="9" fillId="0" borderId="0" xfId="0" applyFont="1" applyAlignment="1">
      <alignment horizontal="left" wrapText="1"/>
    </xf>
    <xf numFmtId="0" fontId="2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10" borderId="0" xfId="0" applyFont="1" applyFill="1" applyAlignment="1">
      <alignment horizontal="center"/>
    </xf>
    <xf numFmtId="167" fontId="0" fillId="0" borderId="19" xfId="0" applyNumberFormat="1" applyBorder="1" applyAlignment="1">
      <alignment horizontal="right"/>
    </xf>
    <xf numFmtId="0" fontId="0" fillId="0" borderId="19" xfId="0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8" fillId="0" borderId="0" xfId="0" applyFont="1" applyAlignment="1">
      <alignment horizontal="right"/>
    </xf>
    <xf numFmtId="0" fontId="0" fillId="0" borderId="52" xfId="0" applyBorder="1" applyAlignment="1">
      <alignment horizontal="center"/>
    </xf>
    <xf numFmtId="0" fontId="10" fillId="10" borderId="5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14" fontId="0" fillId="0" borderId="19" xfId="0" applyNumberFormat="1" applyBorder="1" applyAlignment="1">
      <alignment horizontal="right"/>
    </xf>
    <xf numFmtId="167" fontId="0" fillId="0" borderId="51" xfId="0" applyNumberForma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10" borderId="19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2" xfId="0" applyBorder="1" applyAlignment="1">
      <alignment horizontal="left"/>
    </xf>
    <xf numFmtId="0" fontId="0" fillId="0" borderId="51" xfId="0" applyBorder="1" applyAlignment="1">
      <alignment horizontal="left"/>
    </xf>
    <xf numFmtId="4" fontId="0" fillId="0" borderId="19" xfId="0" applyNumberFormat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2" xfId="0" applyFont="1" applyFill="1" applyBorder="1" applyAlignment="1">
      <alignment horizontal="center"/>
    </xf>
    <xf numFmtId="0" fontId="10" fillId="6" borderId="51" xfId="0" applyFont="1" applyFill="1" applyBorder="1" applyAlignment="1">
      <alignment horizontal="center"/>
    </xf>
    <xf numFmtId="0" fontId="22" fillId="0" borderId="0" xfId="5" applyFont="1" applyAlignment="1" applyProtection="1">
      <alignment horizontal="right" vertical="center"/>
    </xf>
    <xf numFmtId="3" fontId="0" fillId="0" borderId="19" xfId="0" applyNumberFormat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167" fontId="0" fillId="0" borderId="31" xfId="0" applyNumberFormat="1" applyBorder="1" applyAlignment="1">
      <alignment horizontal="center"/>
    </xf>
    <xf numFmtId="4" fontId="0" fillId="0" borderId="52" xfId="0" applyNumberFormat="1" applyBorder="1" applyAlignment="1">
      <alignment horizontal="center"/>
    </xf>
    <xf numFmtId="0" fontId="0" fillId="0" borderId="0" xfId="0" applyProtection="1"/>
    <xf numFmtId="0" fontId="17" fillId="0" borderId="0" xfId="0" applyFont="1" applyProtection="1"/>
    <xf numFmtId="0" fontId="18" fillId="0" borderId="0" xfId="0" applyFont="1" applyProtection="1"/>
    <xf numFmtId="0" fontId="18" fillId="0" borderId="0" xfId="0" applyFont="1" applyAlignment="1" applyProtection="1">
      <alignment horizontal="right"/>
    </xf>
    <xf numFmtId="0" fontId="34" fillId="0" borderId="0" xfId="5" applyFont="1" applyBorder="1" applyAlignment="1" applyProtection="1">
      <alignment horizontal="right" vertical="center"/>
    </xf>
    <xf numFmtId="0" fontId="22" fillId="0" borderId="0" xfId="5" applyFont="1" applyBorder="1" applyAlignment="1" applyProtection="1">
      <alignment horizontal="right" vertical="center"/>
    </xf>
    <xf numFmtId="0" fontId="22" fillId="0" borderId="0" xfId="5" applyFont="1" applyAlignment="1" applyProtection="1">
      <alignment horizontal="center" vertical="center"/>
    </xf>
    <xf numFmtId="0" fontId="10" fillId="10" borderId="51" xfId="0" applyFont="1" applyFill="1" applyBorder="1" applyAlignment="1" applyProtection="1">
      <alignment horizontal="center"/>
    </xf>
    <xf numFmtId="0" fontId="10" fillId="10" borderId="19" xfId="0" applyFont="1" applyFill="1" applyBorder="1" applyAlignment="1" applyProtection="1">
      <alignment horizontal="center"/>
    </xf>
    <xf numFmtId="0" fontId="10" fillId="10" borderId="19" xfId="0" applyFont="1" applyFill="1" applyBorder="1" applyAlignment="1" applyProtection="1">
      <alignment horizontal="right"/>
    </xf>
    <xf numFmtId="0" fontId="10" fillId="10" borderId="52" xfId="0" applyFont="1" applyFill="1" applyBorder="1" applyAlignment="1" applyProtection="1">
      <alignment horizontal="center"/>
    </xf>
    <xf numFmtId="0" fontId="10" fillId="0" borderId="59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16" fillId="0" borderId="0" xfId="0" applyFont="1" applyAlignment="1" applyProtection="1">
      <alignment horizontal="center"/>
    </xf>
    <xf numFmtId="0" fontId="10" fillId="0" borderId="19" xfId="0" applyFont="1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52" xfId="0" applyBorder="1" applyAlignment="1" applyProtection="1">
      <alignment horizontal="center"/>
    </xf>
    <xf numFmtId="0" fontId="10" fillId="0" borderId="57" xfId="0" applyFont="1" applyBorder="1" applyAlignment="1" applyProtection="1">
      <alignment horizontal="center" vertical="center"/>
    </xf>
    <xf numFmtId="0" fontId="14" fillId="0" borderId="19" xfId="0" applyFont="1" applyBorder="1" applyProtection="1"/>
    <xf numFmtId="0" fontId="10" fillId="0" borderId="51" xfId="0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14" fillId="0" borderId="51" xfId="0" applyFont="1" applyBorder="1" applyAlignment="1" applyProtection="1">
      <alignment horizontal="center" vertical="center"/>
    </xf>
    <xf numFmtId="0" fontId="0" fillId="0" borderId="31" xfId="0" applyBorder="1" applyProtection="1"/>
    <xf numFmtId="0" fontId="14" fillId="0" borderId="19" xfId="0" applyFont="1" applyBorder="1" applyAlignment="1" applyProtection="1">
      <alignment horizontal="center" vertical="center"/>
    </xf>
    <xf numFmtId="167" fontId="0" fillId="0" borderId="19" xfId="0" applyNumberFormat="1" applyBorder="1" applyAlignment="1" applyProtection="1">
      <alignment horizontal="right"/>
    </xf>
    <xf numFmtId="0" fontId="0" fillId="0" borderId="52" xfId="0" applyBorder="1" applyAlignment="1" applyProtection="1">
      <alignment horizontal="center"/>
    </xf>
    <xf numFmtId="0" fontId="10" fillId="10" borderId="0" xfId="0" applyFont="1" applyFill="1" applyAlignment="1" applyProtection="1">
      <alignment horizontal="center"/>
    </xf>
    <xf numFmtId="0" fontId="10" fillId="0" borderId="31" xfId="0" applyFont="1" applyBorder="1" applyAlignment="1" applyProtection="1">
      <alignment horizontal="center"/>
    </xf>
    <xf numFmtId="14" fontId="0" fillId="0" borderId="31" xfId="0" applyNumberFormat="1" applyBorder="1" applyAlignment="1" applyProtection="1">
      <alignment horizontal="right" vertical="center"/>
    </xf>
    <xf numFmtId="0" fontId="0" fillId="0" borderId="31" xfId="0" applyBorder="1" applyAlignment="1" applyProtection="1">
      <alignment vertical="center"/>
    </xf>
    <xf numFmtId="0" fontId="10" fillId="0" borderId="31" xfId="0" applyFont="1" applyBorder="1" applyAlignment="1" applyProtection="1">
      <alignment horizontal="center" vertical="center"/>
    </xf>
    <xf numFmtId="0" fontId="37" fillId="0" borderId="0" xfId="0" applyFont="1" applyProtection="1"/>
    <xf numFmtId="0" fontId="10" fillId="0" borderId="0" xfId="0" applyFont="1" applyAlignment="1" applyProtection="1">
      <alignment horizontal="center"/>
    </xf>
    <xf numFmtId="20" fontId="0" fillId="0" borderId="19" xfId="0" applyNumberFormat="1" applyBorder="1" applyAlignment="1" applyProtection="1">
      <alignment vertical="center"/>
    </xf>
    <xf numFmtId="0" fontId="0" fillId="0" borderId="19" xfId="0" applyBorder="1" applyAlignment="1" applyProtection="1">
      <alignment vertical="center"/>
    </xf>
    <xf numFmtId="0" fontId="21" fillId="0" borderId="66" xfId="0" applyFont="1" applyBorder="1" applyAlignment="1" applyProtection="1">
      <alignment horizontal="left"/>
    </xf>
    <xf numFmtId="1" fontId="9" fillId="0" borderId="34" xfId="0" applyNumberFormat="1" applyFont="1" applyBorder="1" applyAlignment="1" applyProtection="1">
      <alignment horizontal="center"/>
    </xf>
    <xf numFmtId="0" fontId="21" fillId="0" borderId="34" xfId="0" applyFont="1" applyBorder="1" applyAlignment="1" applyProtection="1">
      <alignment horizontal="left"/>
    </xf>
    <xf numFmtId="2" fontId="23" fillId="0" borderId="67" xfId="0" applyNumberFormat="1" applyFont="1" applyBorder="1" applyAlignment="1" applyProtection="1">
      <alignment horizontal="left"/>
    </xf>
    <xf numFmtId="0" fontId="21" fillId="0" borderId="59" xfId="0" applyFont="1" applyBorder="1" applyAlignment="1" applyProtection="1">
      <alignment horizontal="left" vertical="center"/>
    </xf>
    <xf numFmtId="2" fontId="23" fillId="0" borderId="31" xfId="0" applyNumberFormat="1" applyFont="1" applyBorder="1" applyAlignment="1" applyProtection="1">
      <alignment horizontal="center" vertical="center"/>
    </xf>
    <xf numFmtId="0" fontId="21" fillId="0" borderId="31" xfId="0" applyFont="1" applyBorder="1" applyAlignment="1" applyProtection="1">
      <alignment horizontal="left" vertical="center"/>
    </xf>
    <xf numFmtId="2" fontId="23" fillId="0" borderId="60" xfId="0" applyNumberFormat="1" applyFont="1" applyBorder="1" applyAlignment="1" applyProtection="1">
      <alignment horizontal="left" vertical="center"/>
    </xf>
    <xf numFmtId="164" fontId="0" fillId="0" borderId="51" xfId="0" applyNumberFormat="1" applyBorder="1" applyAlignment="1" applyProtection="1">
      <alignment horizontal="center" vertical="center"/>
    </xf>
    <xf numFmtId="164" fontId="0" fillId="0" borderId="19" xfId="0" applyNumberFormat="1" applyBorder="1" applyAlignment="1" applyProtection="1">
      <alignment horizontal="center" vertical="center"/>
    </xf>
    <xf numFmtId="164" fontId="0" fillId="0" borderId="51" xfId="0" applyNumberFormat="1" applyBorder="1" applyAlignment="1" applyProtection="1">
      <alignment horizontal="center"/>
    </xf>
    <xf numFmtId="164" fontId="0" fillId="0" borderId="19" xfId="0" applyNumberFormat="1" applyBorder="1" applyAlignment="1" applyProtection="1">
      <alignment horizontal="center"/>
    </xf>
    <xf numFmtId="167" fontId="0" fillId="0" borderId="51" xfId="0" applyNumberFormat="1" applyBorder="1" applyAlignment="1" applyProtection="1">
      <alignment horizontal="center" vertical="center"/>
    </xf>
    <xf numFmtId="167" fontId="0" fillId="0" borderId="19" xfId="0" applyNumberFormat="1" applyBorder="1" applyAlignment="1" applyProtection="1">
      <alignment horizontal="center" vertical="center"/>
    </xf>
    <xf numFmtId="167" fontId="0" fillId="0" borderId="51" xfId="0" applyNumberFormat="1" applyBorder="1" applyAlignment="1" applyProtection="1">
      <alignment horizontal="center"/>
    </xf>
    <xf numFmtId="167" fontId="0" fillId="0" borderId="19" xfId="0" applyNumberFormat="1" applyBorder="1" applyAlignment="1" applyProtection="1">
      <alignment horizontal="center"/>
    </xf>
    <xf numFmtId="167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0" fontId="14" fillId="0" borderId="0" xfId="0" applyFont="1" applyAlignment="1" applyProtection="1">
      <alignment horizontal="left"/>
    </xf>
    <xf numFmtId="167" fontId="0" fillId="0" borderId="0" xfId="0" applyNumberFormat="1" applyAlignment="1" applyProtection="1">
      <alignment horizontal="center"/>
    </xf>
    <xf numFmtId="0" fontId="21" fillId="10" borderId="51" xfId="0" applyFont="1" applyFill="1" applyBorder="1" applyProtection="1"/>
    <xf numFmtId="167" fontId="0" fillId="10" borderId="19" xfId="0" applyNumberFormat="1" applyFill="1" applyBorder="1" applyAlignment="1" applyProtection="1">
      <alignment horizontal="center"/>
    </xf>
    <xf numFmtId="0" fontId="0" fillId="10" borderId="19" xfId="0" applyFill="1" applyBorder="1" applyAlignment="1" applyProtection="1">
      <alignment horizontal="center"/>
    </xf>
    <xf numFmtId="0" fontId="0" fillId="10" borderId="52" xfId="0" applyFill="1" applyBorder="1" applyProtection="1"/>
    <xf numFmtId="0" fontId="10" fillId="10" borderId="51" xfId="0" applyFont="1" applyFill="1" applyBorder="1" applyProtection="1"/>
    <xf numFmtId="0" fontId="0" fillId="0" borderId="0" xfId="0" applyAlignment="1" applyProtection="1">
      <alignment horizontal="center"/>
    </xf>
    <xf numFmtId="0" fontId="14" fillId="0" borderId="0" xfId="0" applyFont="1" applyProtection="1"/>
    <xf numFmtId="165" fontId="0" fillId="0" borderId="0" xfId="0" applyNumberFormat="1" applyAlignment="1" applyProtection="1">
      <alignment horizontal="center"/>
    </xf>
    <xf numFmtId="2" fontId="0" fillId="0" borderId="0" xfId="0" applyNumberFormat="1" applyProtection="1"/>
    <xf numFmtId="0" fontId="0" fillId="0" borderId="34" xfId="0" applyBorder="1" applyAlignment="1" applyProtection="1">
      <alignment horizontal="center"/>
    </xf>
    <xf numFmtId="0" fontId="0" fillId="0" borderId="34" xfId="0" applyBorder="1" applyAlignment="1" applyProtection="1">
      <alignment horizontal="center"/>
    </xf>
    <xf numFmtId="0" fontId="9" fillId="0" borderId="0" xfId="0" applyFont="1" applyAlignment="1" applyProtection="1">
      <alignment horizontal="center" wrapText="1"/>
    </xf>
    <xf numFmtId="0" fontId="23" fillId="0" borderId="0" xfId="0" applyFont="1" applyAlignment="1" applyProtection="1">
      <alignment horizontal="center"/>
    </xf>
    <xf numFmtId="0" fontId="9" fillId="10" borderId="3" xfId="0" applyFont="1" applyFill="1" applyBorder="1" applyAlignment="1" applyProtection="1">
      <alignment horizontal="center"/>
    </xf>
    <xf numFmtId="0" fontId="9" fillId="0" borderId="0" xfId="0" applyFont="1" applyProtection="1"/>
    <xf numFmtId="0" fontId="11" fillId="7" borderId="11" xfId="0" applyFont="1" applyFill="1" applyBorder="1" applyAlignment="1" applyProtection="1">
      <alignment horizontal="center" vertical="center"/>
      <protection locked="0"/>
    </xf>
    <xf numFmtId="0" fontId="11" fillId="7" borderId="35" xfId="0" applyFont="1" applyFill="1" applyBorder="1" applyAlignment="1" applyProtection="1">
      <alignment horizontal="center" vertical="center"/>
      <protection locked="0"/>
    </xf>
    <xf numFmtId="0" fontId="7" fillId="9" borderId="5" xfId="0" applyFont="1" applyFill="1" applyBorder="1" applyAlignment="1" applyProtection="1">
      <alignment horizontal="center" vertical="center"/>
      <protection locked="0"/>
    </xf>
    <xf numFmtId="2" fontId="7" fillId="8" borderId="23" xfId="0" applyNumberFormat="1" applyFont="1" applyFill="1" applyBorder="1" applyAlignment="1" applyProtection="1">
      <alignment horizontal="center" vertical="center"/>
      <protection locked="0"/>
    </xf>
    <xf numFmtId="0" fontId="7" fillId="9" borderId="7" xfId="0" applyFont="1" applyFill="1" applyBorder="1" applyAlignment="1" applyProtection="1">
      <alignment horizontal="center" vertical="center"/>
      <protection locked="0"/>
    </xf>
    <xf numFmtId="2" fontId="7" fillId="8" borderId="25" xfId="0" applyNumberFormat="1" applyFont="1" applyFill="1" applyBorder="1" applyAlignment="1" applyProtection="1">
      <alignment horizontal="center" vertical="center"/>
      <protection locked="0"/>
    </xf>
    <xf numFmtId="0" fontId="30" fillId="7" borderId="17" xfId="0" applyFont="1" applyFill="1" applyBorder="1" applyAlignment="1">
      <alignment horizontal="center" vertical="center" wrapText="1"/>
    </xf>
    <xf numFmtId="0" fontId="30" fillId="7" borderId="35" xfId="0" applyFont="1" applyFill="1" applyBorder="1" applyAlignment="1">
      <alignment horizontal="center" vertical="center" wrapText="1"/>
    </xf>
    <xf numFmtId="165" fontId="7" fillId="8" borderId="24" xfId="0" applyNumberFormat="1" applyFont="1" applyFill="1" applyBorder="1" applyAlignment="1" applyProtection="1">
      <alignment horizontal="center" vertical="center"/>
      <protection locked="0"/>
    </xf>
    <xf numFmtId="165" fontId="7" fillId="8" borderId="4" xfId="0" applyNumberFormat="1" applyFont="1" applyFill="1" applyBorder="1" applyAlignment="1" applyProtection="1">
      <alignment horizontal="center" vertical="center"/>
      <protection locked="0"/>
    </xf>
    <xf numFmtId="165" fontId="7" fillId="8" borderId="26" xfId="0" applyNumberFormat="1" applyFont="1" applyFill="1" applyBorder="1" applyAlignment="1" applyProtection="1">
      <alignment horizontal="center" vertical="center"/>
      <protection locked="0"/>
    </xf>
    <xf numFmtId="0" fontId="7" fillId="10" borderId="0" xfId="0" applyFont="1" applyFill="1" applyBorder="1" applyAlignment="1">
      <alignment vertical="center"/>
    </xf>
    <xf numFmtId="170" fontId="7" fillId="9" borderId="14" xfId="0" applyNumberFormat="1" applyFont="1" applyFill="1" applyBorder="1" applyAlignment="1">
      <alignment horizontal="center" vertical="center"/>
    </xf>
    <xf numFmtId="168" fontId="7" fillId="10" borderId="21" xfId="0" applyNumberFormat="1" applyFont="1" applyFill="1" applyBorder="1" applyAlignment="1">
      <alignment vertical="center"/>
    </xf>
    <xf numFmtId="164" fontId="7" fillId="11" borderId="39" xfId="0" applyNumberFormat="1" applyFont="1" applyFill="1" applyBorder="1" applyAlignment="1" applyProtection="1">
      <alignment horizontal="center" vertical="center"/>
      <protection locked="0"/>
    </xf>
    <xf numFmtId="170" fontId="7" fillId="9" borderId="38" xfId="0" applyNumberFormat="1" applyFont="1" applyFill="1" applyBorder="1" applyAlignment="1">
      <alignment horizontal="center" vertical="center"/>
    </xf>
    <xf numFmtId="0" fontId="0" fillId="10" borderId="0" xfId="0" applyFill="1" applyBorder="1"/>
    <xf numFmtId="171" fontId="7" fillId="9" borderId="39" xfId="0" applyNumberFormat="1" applyFont="1" applyFill="1" applyBorder="1" applyAlignment="1">
      <alignment horizontal="center" vertical="center"/>
    </xf>
    <xf numFmtId="171" fontId="7" fillId="9" borderId="37" xfId="0" applyNumberFormat="1" applyFont="1" applyFill="1" applyBorder="1" applyAlignment="1">
      <alignment horizontal="center" vertical="center"/>
    </xf>
    <xf numFmtId="171" fontId="7" fillId="9" borderId="38" xfId="0" applyNumberFormat="1" applyFont="1" applyFill="1" applyBorder="1" applyAlignment="1">
      <alignment horizontal="center" vertical="center"/>
    </xf>
    <xf numFmtId="171" fontId="11" fillId="7" borderId="14" xfId="0" applyNumberFormat="1" applyFont="1" applyFill="1" applyBorder="1" applyAlignment="1">
      <alignment horizontal="center" vertical="center"/>
    </xf>
    <xf numFmtId="170" fontId="11" fillId="7" borderId="39" xfId="0" applyNumberFormat="1" applyFont="1" applyFill="1" applyBorder="1" applyAlignment="1">
      <alignment horizontal="center" vertical="center"/>
    </xf>
    <xf numFmtId="174" fontId="11" fillId="7" borderId="37" xfId="0" applyNumberFormat="1" applyFont="1" applyFill="1" applyBorder="1" applyAlignment="1">
      <alignment horizontal="center" vertical="center"/>
    </xf>
    <xf numFmtId="167" fontId="11" fillId="7" borderId="38" xfId="0" applyNumberFormat="1" applyFont="1" applyFill="1" applyBorder="1" applyAlignment="1">
      <alignment horizontal="center" vertical="center"/>
    </xf>
  </cellXfs>
  <cellStyles count="6">
    <cellStyle name="Hiperlink" xfId="5" builtinId="8"/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  <cellStyle name="Separador de milhares 2" xfId="4" xr:uid="{00000000-0005-0000-0000-000005000000}"/>
  </cellStyles>
  <dxfs count="0"/>
  <tableStyles count="0" defaultTableStyle="TableStyleMedium9" defaultPivotStyle="PivotStyleLight16"/>
  <colors>
    <mruColors>
      <color rgb="FFDAEEF3"/>
      <color rgb="FFF2F2F2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42863</xdr:colOff>
      <xdr:row>1</xdr:row>
      <xdr:rowOff>169786</xdr:rowOff>
    </xdr:from>
    <xdr:to>
      <xdr:col>2</xdr:col>
      <xdr:colOff>342900</xdr:colOff>
      <xdr:row>1</xdr:row>
      <xdr:rowOff>590550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5F3F3-C630-4FFB-9B1A-F18FBBEF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3363" y="350761"/>
          <a:ext cx="1819275" cy="41600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285418</xdr:colOff>
      <xdr:row>0</xdr:row>
      <xdr:rowOff>171450</xdr:rowOff>
    </xdr:from>
    <xdr:to>
      <xdr:col>3</xdr:col>
      <xdr:colOff>189568</xdr:colOff>
      <xdr:row>2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F90B6C-EE56-C900-45D0-175441D9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418" y="171450"/>
          <a:ext cx="1499588" cy="342901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278275</xdr:colOff>
      <xdr:row>1</xdr:row>
      <xdr:rowOff>33338</xdr:rowOff>
    </xdr:from>
    <xdr:to>
      <xdr:col>3</xdr:col>
      <xdr:colOff>208013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ECDAED-60AE-4A35-B3B1-4AF5E0621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78275" y="214313"/>
          <a:ext cx="1520414" cy="347663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26</xdr:row>
      <xdr:rowOff>85725</xdr:rowOff>
    </xdr:from>
    <xdr:to>
      <xdr:col>13</xdr:col>
      <xdr:colOff>19050</xdr:colOff>
      <xdr:row>31</xdr:row>
      <xdr:rowOff>133350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42900" y="5810250"/>
          <a:ext cx="4962525" cy="1000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our intention only to protect the interests of our principal from any claims that may arise due this discrepancy </a:t>
          </a:r>
          <a:r>
            <a:rPr lang="pt-BR"/>
            <a:t>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we reserve the right to revert on this matter in the future.</a:t>
          </a:r>
          <a:r>
            <a:rPr lang="pt-BR"/>
            <a:t> </a:t>
          </a:r>
        </a:p>
        <a:p>
          <a:endParaRPr lang="pt-BR"/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acknowledge receipt of this letter, for which we thank you in advance.</a:t>
          </a:r>
          <a:r>
            <a:rPr lang="pt-BR"/>
            <a:t> </a:t>
          </a:r>
          <a:endParaRPr lang="pt-BR" sz="1100"/>
        </a:p>
      </xdr:txBody>
    </xdr:sp>
    <xdr:clientData/>
  </xdr:twoCellAnchor>
  <xdr:twoCellAnchor>
    <xdr:from>
      <xdr:col>1</xdr:col>
      <xdr:colOff>28575</xdr:colOff>
      <xdr:row>16</xdr:row>
      <xdr:rowOff>123825</xdr:rowOff>
    </xdr:from>
    <xdr:to>
      <xdr:col>12</xdr:col>
      <xdr:colOff>352425</xdr:colOff>
      <xdr:row>19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575" y="3819525"/>
          <a:ext cx="5514975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 completion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loading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operations on the above  mentioned vessel, we observed the following figures by Draft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Survey: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/>
            <a:t> </a:t>
          </a:r>
          <a:endParaRPr lang="pt-BR" sz="1100"/>
        </a:p>
      </xdr:txBody>
    </xdr:sp>
    <xdr:clientData/>
  </xdr:twoCellAnchor>
  <xdr:twoCellAnchor editAs="oneCell">
    <xdr:from>
      <xdr:col>1</xdr:col>
      <xdr:colOff>4431</xdr:colOff>
      <xdr:row>1</xdr:row>
      <xdr:rowOff>38032</xdr:rowOff>
    </xdr:from>
    <xdr:to>
      <xdr:col>2</xdr:col>
      <xdr:colOff>523874</xdr:colOff>
      <xdr:row>2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4ACDF9A-DD07-4214-AE32-9D3D02F7F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2556" y="219007"/>
          <a:ext cx="1395744" cy="319156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veyors@naabsa.com%20%7C%20naabsa.com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urveyors@naab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D02C-36B6-4297-8CD4-B37822369470}">
  <dimension ref="B2:N40"/>
  <sheetViews>
    <sheetView showGridLines="0" topLeftCell="A13" workbookViewId="0">
      <selection activeCell="C31" sqref="C31"/>
    </sheetView>
  </sheetViews>
  <sheetFormatPr defaultRowHeight="14.25"/>
  <cols>
    <col min="1" max="1" width="2.6640625" customWidth="1"/>
    <col min="2" max="2" width="21.33203125" customWidth="1"/>
    <col min="3" max="3" width="37.73046875" customWidth="1"/>
    <col min="4" max="10" width="2.1328125" customWidth="1"/>
    <col min="11" max="11" width="16.86328125" customWidth="1"/>
    <col min="12" max="12" width="21.33203125" customWidth="1"/>
    <col min="13" max="14" width="8.86328125" customWidth="1"/>
  </cols>
  <sheetData>
    <row r="2" spans="2:14" ht="55.05" customHeight="1">
      <c r="B2" s="518" t="s">
        <v>200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</row>
    <row r="3" spans="2:14" ht="25.05" customHeight="1">
      <c r="B3" s="516" t="s">
        <v>195</v>
      </c>
      <c r="C3" s="517"/>
      <c r="K3" s="516" t="s">
        <v>197</v>
      </c>
      <c r="L3" s="517"/>
      <c r="M3" s="517"/>
      <c r="N3" s="517"/>
    </row>
    <row r="4" spans="2:14" ht="22.05" customHeight="1">
      <c r="B4" s="237" t="s">
        <v>152</v>
      </c>
      <c r="C4" s="233" t="s">
        <v>227</v>
      </c>
      <c r="K4" s="240" t="s">
        <v>202</v>
      </c>
      <c r="L4" s="520" t="s">
        <v>213</v>
      </c>
      <c r="M4" s="520"/>
      <c r="N4" s="520"/>
    </row>
    <row r="5" spans="2:14" ht="22.05" customHeight="1">
      <c r="B5" s="237" t="s">
        <v>153</v>
      </c>
      <c r="C5" s="233" t="s">
        <v>228</v>
      </c>
      <c r="K5" s="240" t="s">
        <v>201</v>
      </c>
      <c r="L5" s="520" t="s">
        <v>214</v>
      </c>
      <c r="M5" s="520"/>
      <c r="N5" s="520"/>
    </row>
    <row r="6" spans="2:14" ht="22.05" customHeight="1">
      <c r="B6" s="237" t="s">
        <v>154</v>
      </c>
      <c r="C6" s="233" t="s">
        <v>229</v>
      </c>
      <c r="K6" s="228"/>
      <c r="L6" s="229" t="s">
        <v>175</v>
      </c>
      <c r="M6" s="229" t="s">
        <v>176</v>
      </c>
      <c r="N6" s="229" t="s">
        <v>177</v>
      </c>
    </row>
    <row r="7" spans="2:14" ht="22.05" customHeight="1">
      <c r="B7" s="237" t="s">
        <v>187</v>
      </c>
      <c r="C7" s="233">
        <v>213</v>
      </c>
      <c r="K7" s="241" t="s">
        <v>174</v>
      </c>
      <c r="L7" s="230" t="str" cm="1">
        <f t="array" ref="L7">_xlfn.LET(
        _xlpm.ref,Inicial!C7,
        _xlpm.dt,IF(ISNUMBER(_xlpm.ref),_xlpm.ref,
            _xlfn.LET(
                _xlpm.txt,TRIM(_xlpm.ref),
                _xlpm.mesNome,LEFT(_xlpm.txt,FIND(" ",_xlpm.txt)-1),
                _xlpm.resto,MID(_xlpm.txt,FIND(" ",_xlpm.txt)+1,100),
                _xlpm.dia,VALUE(LEFT(_xlpm.resto,FIND(",",_xlpm.resto)-1)),
                _xlpm.ano,VALUE(TRIM(RIGHT(_xlpm.resto,LEN(_xlpm.resto)-FIND(",",_xlpm.resto)))),
                _xlpm.mesNum,MATCH(_xlpm.mesNome,{"January","February","March","April","May","June","July","August","September","October","November","December"},0),
                DATE(_xlpm.ano,_xlpm.mesNum,_xlpm.dia)
            )
        ),
        _xlpm.d,DAY(_xlpm.dt),
        _xlpm.suf,IF(OR(_xlpm.d={1,21,31}),"st",IF(OR(_xlpm.d={2,22}),"nd",IF(OR(_xlpm.d={3,23}),"rd","th"))),
        TEXT(_xlpm.dt,"[$-409]mmmm")&amp;" "&amp;_xlpm.d&amp;_xlpm.suf&amp;", "&amp;YEAR(_xlpm.dt)
    )</f>
        <v>February 8th, 2026</v>
      </c>
      <c r="M7" s="231">
        <f>Inicial!G7</f>
        <v>0.3298611111111111</v>
      </c>
      <c r="N7" s="231">
        <f>Inicial!H7</f>
        <v>0.41666666666666669</v>
      </c>
    </row>
    <row r="8" spans="2:14" ht="22.05" customHeight="1">
      <c r="B8" s="237" t="s">
        <v>166</v>
      </c>
      <c r="C8" s="233" t="s">
        <v>188</v>
      </c>
      <c r="K8" s="241" t="s">
        <v>179</v>
      </c>
      <c r="L8" s="232" t="str" cm="1">
        <f t="array" ref="L8">_xlfn.LET(
        _xlpm.ref,Intermediario!C5,
        _xlpm.dt,IF(ISNUMBER(_xlpm.ref),_xlpm.ref,
            _xlfn.LET(
                _xlpm.txt,TRIM(_xlpm.ref),
                _xlpm.mesNome,LEFT(_xlpm.txt,FIND(" ",_xlpm.txt)-1),
                _xlpm.resto,MID(_xlpm.txt,FIND(" ",_xlpm.txt)+1,100),
                _xlpm.dia,VALUE(LEFT(_xlpm.resto,FIND(",",_xlpm.resto)-1)),
                _xlpm.ano,VALUE(TRIM(RIGHT(_xlpm.resto,LEN(_xlpm.resto)-FIND(",",_xlpm.resto)))),
                _xlpm.mesNum,MATCH(_xlpm.mesNome,{"January","February","March","April","May","June","July","August","September","October","November","December"},0),
                DATE(_xlpm.ano,_xlpm.mesNum,_xlpm.dia)
            )
        ),
        _xlpm.d,DAY(_xlpm.dt),
        _xlpm.suf,IF(OR(_xlpm.d={1,21,31}),"st",IF(OR(_xlpm.d={2,22}),"nd",IF(OR(_xlpm.d={3,23}),"rd","th"))),
        TEXT(_xlpm.dt,"[$-409]mmmm")&amp;" "&amp;_xlpm.d&amp;_xlpm.suf&amp;", "&amp;YEAR(_xlpm.dt)
    )</f>
        <v>February 11th, 2026</v>
      </c>
      <c r="M8" s="231">
        <f>Intermediario!G5</f>
        <v>0.72222222222222221</v>
      </c>
      <c r="N8" s="231">
        <f>Intermediario!H5</f>
        <v>0.79166666666666663</v>
      </c>
    </row>
    <row r="9" spans="2:14" ht="22.05" customHeight="1">
      <c r="B9" s="237" t="s">
        <v>167</v>
      </c>
      <c r="C9" s="233" t="s">
        <v>189</v>
      </c>
      <c r="K9" s="241" t="s">
        <v>178</v>
      </c>
      <c r="L9" s="230" t="str" cm="1">
        <f t="array" ref="L9">_xlfn.LET(
        _xlpm.ref,final!C5,
        _xlpm.dt,IF(ISNUMBER(_xlpm.ref),_xlpm.ref,
            _xlfn.LET(
                _xlpm.txt,TRIM(_xlpm.ref),
                _xlpm.mesNome,LEFT(_xlpm.txt,FIND(" ",_xlpm.txt)-1),
                _xlpm.resto,MID(_xlpm.txt,FIND(" ",_xlpm.txt)+1,100),
                _xlpm.dia,VALUE(LEFT(_xlpm.resto,FIND(",",_xlpm.resto)-1)),
                _xlpm.ano,VALUE(TRIM(RIGHT(_xlpm.resto,LEN(_xlpm.resto)-FIND(",",_xlpm.resto)))),
                _xlpm.mesNum,MATCH(_xlpm.mesNome,{"January","February","March","April","May","June","July","August","September","October","November","December"},0),
                DATE(_xlpm.ano,_xlpm.mesNum,_xlpm.dia)
            )
        ),
        _xlpm.d,DAY(_xlpm.dt),
        _xlpm.suf,IF(OR(_xlpm.d={1,21,31}),"st",IF(OR(_xlpm.d={2,22}),"nd",IF(OR(_xlpm.d={3,23}),"rd","th"))),
        TEXT(_xlpm.dt,"[$-409]mmmm")&amp;" "&amp;_xlpm.d&amp;_xlpm.suf&amp;", "&amp;YEAR(_xlpm.dt)
    )</f>
        <v>May 30th, 2026</v>
      </c>
      <c r="M9" s="231">
        <f>final!G5</f>
        <v>0.60416666666666663</v>
      </c>
      <c r="N9" s="231">
        <f>final!H5</f>
        <v>0.66666666666666663</v>
      </c>
    </row>
    <row r="10" spans="2:14" ht="22.05" customHeight="1">
      <c r="B10" s="237" t="s">
        <v>129</v>
      </c>
      <c r="C10" s="233" t="s">
        <v>186</v>
      </c>
    </row>
    <row r="11" spans="2:14" ht="22.05" customHeight="1">
      <c r="B11" s="237" t="s">
        <v>210</v>
      </c>
      <c r="C11" s="233" t="s">
        <v>101</v>
      </c>
    </row>
    <row r="12" spans="2:14" ht="25.05" customHeight="1">
      <c r="B12" s="514" t="s">
        <v>196</v>
      </c>
      <c r="C12" s="515"/>
      <c r="K12" s="521" t="s">
        <v>219</v>
      </c>
      <c r="L12" s="521"/>
      <c r="M12" s="521"/>
      <c r="N12" s="521"/>
    </row>
    <row r="13" spans="2:14" ht="22.05" customHeight="1">
      <c r="B13" s="237" t="s">
        <v>155</v>
      </c>
      <c r="C13" s="233" t="s">
        <v>230</v>
      </c>
      <c r="G13" s="223"/>
      <c r="K13" t="s">
        <v>222</v>
      </c>
    </row>
    <row r="14" spans="2:14" ht="22.05" customHeight="1">
      <c r="B14" s="237" t="s">
        <v>156</v>
      </c>
      <c r="C14" s="233" t="s">
        <v>190</v>
      </c>
      <c r="G14" s="223"/>
      <c r="K14" t="s">
        <v>220</v>
      </c>
    </row>
    <row r="15" spans="2:14" ht="22.05" customHeight="1">
      <c r="B15" s="237" t="s">
        <v>157</v>
      </c>
      <c r="C15" s="233" t="s">
        <v>190</v>
      </c>
      <c r="K15" t="s">
        <v>223</v>
      </c>
    </row>
    <row r="16" spans="2:14" ht="22.05" customHeight="1">
      <c r="B16" s="237" t="s">
        <v>158</v>
      </c>
      <c r="C16" s="233" t="s">
        <v>159</v>
      </c>
      <c r="K16" t="s">
        <v>225</v>
      </c>
    </row>
    <row r="17" spans="2:14" ht="22.05" customHeight="1">
      <c r="B17" s="237" t="s">
        <v>22</v>
      </c>
      <c r="C17" s="233">
        <v>9865324</v>
      </c>
    </row>
    <row r="18" spans="2:14" ht="22.05" customHeight="1">
      <c r="B18" s="237" t="s">
        <v>160</v>
      </c>
      <c r="C18" s="233" t="s">
        <v>191</v>
      </c>
    </row>
    <row r="19" spans="2:14" ht="22.05" customHeight="1">
      <c r="B19" s="237" t="s">
        <v>161</v>
      </c>
      <c r="C19" s="233">
        <v>2023</v>
      </c>
      <c r="K19" s="224"/>
      <c r="L19" s="224"/>
      <c r="M19" s="198"/>
      <c r="N19" s="198"/>
    </row>
    <row r="20" spans="2:14" ht="22.05" customHeight="1">
      <c r="B20" s="237" t="s">
        <v>162</v>
      </c>
      <c r="C20" s="234">
        <v>199.98</v>
      </c>
      <c r="F20" s="225"/>
      <c r="G20" s="226"/>
      <c r="H20" s="226"/>
      <c r="I20" s="227"/>
      <c r="K20" s="224"/>
      <c r="L20" s="224"/>
      <c r="M20" s="198"/>
      <c r="N20" s="198"/>
    </row>
    <row r="21" spans="2:14" ht="22.05" customHeight="1">
      <c r="B21" s="237" t="s">
        <v>52</v>
      </c>
      <c r="C21" s="234">
        <v>195</v>
      </c>
      <c r="F21" s="225"/>
      <c r="G21" s="226"/>
      <c r="H21" s="226"/>
      <c r="I21" s="227"/>
      <c r="K21" s="224"/>
      <c r="L21" s="224"/>
      <c r="M21" s="198"/>
      <c r="N21" s="198"/>
    </row>
    <row r="22" spans="2:14" ht="22.05" customHeight="1">
      <c r="B22" s="237" t="s">
        <v>169</v>
      </c>
      <c r="C22" s="234">
        <v>19.3</v>
      </c>
      <c r="F22" s="225"/>
      <c r="G22" s="226"/>
      <c r="H22" s="226"/>
      <c r="I22" s="227"/>
      <c r="M22" s="198"/>
      <c r="N22" s="198"/>
    </row>
    <row r="23" spans="2:14" ht="22.05" customHeight="1">
      <c r="B23" s="237" t="s">
        <v>170</v>
      </c>
      <c r="C23" s="233">
        <v>32.24</v>
      </c>
      <c r="M23" s="198"/>
      <c r="N23" s="198"/>
    </row>
    <row r="24" spans="2:14" ht="22.05" customHeight="1">
      <c r="B24" s="237" t="s">
        <v>171</v>
      </c>
      <c r="C24" s="233">
        <v>21173</v>
      </c>
      <c r="M24" s="198"/>
      <c r="N24" s="198"/>
    </row>
    <row r="25" spans="2:14" ht="22.05" customHeight="1">
      <c r="B25" s="237" t="s">
        <v>172</v>
      </c>
      <c r="C25" s="233">
        <v>36140</v>
      </c>
    </row>
    <row r="26" spans="2:14" ht="22.05" customHeight="1">
      <c r="B26" s="237" t="s">
        <v>173</v>
      </c>
      <c r="C26" s="235">
        <v>63575</v>
      </c>
    </row>
    <row r="27" spans="2:14" ht="25.05" customHeight="1">
      <c r="B27" s="514" t="s">
        <v>221</v>
      </c>
      <c r="C27" s="515"/>
      <c r="F27" s="221"/>
      <c r="G27" s="217"/>
      <c r="H27" s="217"/>
    </row>
    <row r="28" spans="2:14" ht="22.05" customHeight="1">
      <c r="B28" s="238" t="s">
        <v>163</v>
      </c>
      <c r="C28" s="233" t="s">
        <v>215</v>
      </c>
      <c r="F28" s="221"/>
      <c r="G28" s="217"/>
      <c r="H28" s="217"/>
    </row>
    <row r="29" spans="2:14" ht="22.05" customHeight="1">
      <c r="B29" s="238" t="s">
        <v>182</v>
      </c>
      <c r="C29" s="233" t="s">
        <v>215</v>
      </c>
      <c r="F29" s="221"/>
      <c r="G29" s="217"/>
      <c r="H29" s="218"/>
      <c r="I29" s="222"/>
    </row>
    <row r="30" spans="2:14" ht="25.05" customHeight="1">
      <c r="B30" s="514" t="s">
        <v>198</v>
      </c>
      <c r="C30" s="515"/>
      <c r="F30" s="216"/>
      <c r="G30" s="216"/>
      <c r="H30" s="219"/>
      <c r="I30" s="220"/>
    </row>
    <row r="31" spans="2:14" ht="22.05" customHeight="1">
      <c r="B31" s="239" t="s">
        <v>168</v>
      </c>
      <c r="C31" s="236" t="s">
        <v>183</v>
      </c>
      <c r="F31" s="216"/>
      <c r="G31" s="217"/>
      <c r="H31" s="217"/>
    </row>
    <row r="32" spans="2:14" ht="21.75" customHeight="1">
      <c r="B32" s="514" t="s">
        <v>224</v>
      </c>
      <c r="C32" s="515"/>
      <c r="F32" s="216"/>
      <c r="G32" s="217"/>
      <c r="H32" s="217"/>
    </row>
    <row r="33" spans="2:9" ht="21.75" customHeight="1">
      <c r="B33" s="238" t="s">
        <v>164</v>
      </c>
      <c r="C33" s="236"/>
      <c r="F33" s="216"/>
      <c r="G33" s="217"/>
      <c r="H33" s="218"/>
    </row>
    <row r="34" spans="2:9" ht="21.75" customHeight="1">
      <c r="B34" s="238" t="s">
        <v>165</v>
      </c>
      <c r="C34" s="236"/>
      <c r="F34" s="216"/>
      <c r="G34" s="216"/>
      <c r="H34" s="219"/>
      <c r="I34" s="220"/>
    </row>
    <row r="37" spans="2:9">
      <c r="F37" s="221"/>
      <c r="G37" s="217"/>
      <c r="H37" s="217"/>
    </row>
    <row r="38" spans="2:9">
      <c r="F38" s="216"/>
      <c r="G38" s="217"/>
      <c r="H38" s="217"/>
    </row>
    <row r="39" spans="2:9">
      <c r="F39" s="221"/>
      <c r="G39" s="217"/>
      <c r="H39" s="218"/>
    </row>
    <row r="40" spans="2:9">
      <c r="F40" s="216"/>
      <c r="G40" s="216"/>
      <c r="H40" s="219"/>
      <c r="I40" s="220"/>
    </row>
  </sheetData>
  <sheetProtection algorithmName="SHA-512" hashValue="qu2ywtSl98yno4GJFxetJOwmTgTsNsYZnYFlcTy3d0GloyC+etHhugIzNDjdrAw2JPuyDGRNo6QUayWuzS2apA==" saltValue="+JZAmJV0wm1bIDtUz62y7w==" spinCount="100000" sheet="1" objects="1" scenarios="1" formatCells="0" formatColumns="0" formatRows="0"/>
  <mergeCells count="10">
    <mergeCell ref="B27:C27"/>
    <mergeCell ref="K3:N3"/>
    <mergeCell ref="B32:C32"/>
    <mergeCell ref="B30:C30"/>
    <mergeCell ref="B2:N2"/>
    <mergeCell ref="B3:C3"/>
    <mergeCell ref="B12:C12"/>
    <mergeCell ref="L4:N4"/>
    <mergeCell ref="L5:N5"/>
    <mergeCell ref="K12:N12"/>
  </mergeCells>
  <dataValidations count="4">
    <dataValidation type="custom" allowBlank="1" showInputMessage="1" showErrorMessage="1" errorTitle="Preenchimento obrigatório" error="Esta célula não pode ficar em branco. Informe um valor válido." promptTitle="Campo obrigatório" prompt="Preencha esta célula antes de continuar." sqref="C4:C11 C28:C29 C13:C26 M4:N5" xr:uid="{6E0D88C3-1999-4342-AFD7-50C6BCF3FC6F}">
      <formula1>LEN(TRIM(C4&amp;""))&gt;0</formula1>
    </dataValidation>
    <dataValidation type="list" allowBlank="1" showInputMessage="1" showErrorMessage="1" errorTitle="Entrada inválida" error="Escolha apenas Port Side ou Starboard Side." promptTitle="Atracado" prompt="Selecione Port Side ou Starboard Side." sqref="C31" xr:uid="{94DEF6DD-BEF0-48A0-B1D1-B119AF998A5D}">
      <formula1>"Port Side,Starboard Side"</formula1>
    </dataValidation>
    <dataValidation type="list" allowBlank="1" showInputMessage="1" showErrorMessage="1" errorTitle="Entrada inválida" error="Escolha apenas Loading ou Discharging." promptTitle="Kind of attendance" prompt="Selecione Loading ou Discharging." sqref="L4" xr:uid="{F7D70AEA-F1C0-461A-B2E3-031112C5B917}">
      <formula1>"Loading,Discharging"</formula1>
    </dataValidation>
    <dataValidation type="list" allowBlank="1" showInputMessage="1" showErrorMessage="1" errorTitle="Entrada inválida" error="Escolha apenas Shore Scale, Draft Survey ou BsL." promptTitle="Official figures" prompt="Selecione Shore Scale, Draft Survey ou BsL." sqref="L5" xr:uid="{E57548C4-1DFB-4983-A15F-9573FA262721}">
      <formula1>"Shore Scale,Draft Survey,BsL"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78"/>
  <sheetViews>
    <sheetView showGridLines="0" zoomScaleNormal="100" workbookViewId="0">
      <selection activeCell="G18" sqref="G18:H18"/>
    </sheetView>
  </sheetViews>
  <sheetFormatPr defaultRowHeight="14.25"/>
  <cols>
    <col min="1" max="1" width="0.6640625" customWidth="1"/>
    <col min="2" max="2" width="9.46484375" customWidth="1"/>
    <col min="3" max="3" width="9.6640625" customWidth="1"/>
    <col min="4" max="4" width="7.86328125" customWidth="1"/>
    <col min="5" max="5" width="1.33203125" customWidth="1"/>
    <col min="6" max="6" width="9.73046875" customWidth="1"/>
    <col min="7" max="7" width="6.19921875" customWidth="1"/>
    <col min="8" max="8" width="7.86328125" customWidth="1"/>
    <col min="9" max="9" width="3.86328125" hidden="1" customWidth="1"/>
    <col min="10" max="10" width="1.06640625" customWidth="1"/>
    <col min="12" max="12" width="9.53125" customWidth="1"/>
    <col min="13" max="13" width="8.86328125" customWidth="1"/>
    <col min="14" max="14" width="8.53125" bestFit="1" customWidth="1"/>
    <col min="15" max="15" width="10.9296875" customWidth="1"/>
    <col min="16" max="16" width="0.53125" customWidth="1"/>
    <col min="17" max="17" width="8.19921875" customWidth="1"/>
    <col min="18" max="18" width="5.33203125" bestFit="1" customWidth="1"/>
    <col min="19" max="19" width="6.6640625" customWidth="1"/>
    <col min="20" max="20" width="10.19921875" customWidth="1"/>
    <col min="21" max="21" width="6.33203125" customWidth="1"/>
    <col min="22" max="22" width="9.86328125" customWidth="1"/>
    <col min="23" max="23" width="0.86328125" customWidth="1"/>
    <col min="24" max="24" width="7.6640625" customWidth="1"/>
    <col min="25" max="25" width="7.6640625" bestFit="1" customWidth="1"/>
    <col min="26" max="26" width="8.53125" bestFit="1" customWidth="1"/>
    <col min="27" max="27" width="7.86328125" customWidth="1"/>
    <col min="28" max="28" width="7.1328125" customWidth="1"/>
    <col min="29" max="29" width="9.9296875" customWidth="1"/>
  </cols>
  <sheetData>
    <row r="1" spans="2:38" ht="5.25" customHeight="1" thickBot="1"/>
    <row r="2" spans="2:38" ht="12.6" customHeight="1" thickBot="1">
      <c r="B2" s="405" t="s">
        <v>0</v>
      </c>
      <c r="C2" s="406"/>
      <c r="D2" s="406"/>
      <c r="E2" s="406"/>
      <c r="F2" s="406"/>
      <c r="G2" s="406"/>
      <c r="H2" s="398"/>
      <c r="I2" s="295"/>
      <c r="J2" s="198"/>
      <c r="K2" s="405" t="s">
        <v>1</v>
      </c>
      <c r="L2" s="406"/>
      <c r="M2" s="406"/>
      <c r="N2" s="406"/>
      <c r="O2" s="398"/>
      <c r="P2" s="305"/>
      <c r="Q2" s="405" t="s">
        <v>2</v>
      </c>
      <c r="R2" s="406"/>
      <c r="S2" s="406"/>
      <c r="T2" s="406"/>
      <c r="U2" s="406"/>
      <c r="V2" s="398"/>
      <c r="X2" s="391" t="s">
        <v>3</v>
      </c>
      <c r="Y2" s="461"/>
      <c r="Z2" s="461"/>
      <c r="AA2" s="461"/>
      <c r="AB2" s="392"/>
      <c r="AC2" s="245"/>
      <c r="AD2" s="243"/>
      <c r="AE2" s="242"/>
      <c r="AF2" s="242"/>
      <c r="AG2" s="242"/>
      <c r="AH2" s="242"/>
      <c r="AI2" s="242"/>
      <c r="AJ2" s="242"/>
      <c r="AK2" s="242"/>
      <c r="AL2" s="242"/>
    </row>
    <row r="3" spans="2:38" ht="12.6" customHeight="1" thickBot="1">
      <c r="B3" s="306" t="s">
        <v>15</v>
      </c>
      <c r="C3" s="556" t="str">
        <f>Capa!C13</f>
        <v>HG ANTWERP</v>
      </c>
      <c r="D3" s="556"/>
      <c r="E3" s="556"/>
      <c r="F3" s="307" t="s">
        <v>4</v>
      </c>
      <c r="G3" s="544">
        <f>Capa!C7</f>
        <v>213</v>
      </c>
      <c r="H3" s="545"/>
      <c r="I3" s="255"/>
      <c r="J3" s="198"/>
      <c r="K3" s="308"/>
      <c r="L3" s="309"/>
      <c r="M3" s="309"/>
      <c r="N3" s="309"/>
      <c r="O3" s="310"/>
      <c r="P3" s="305"/>
      <c r="Q3" s="201" t="s">
        <v>5</v>
      </c>
      <c r="R3" s="154" t="s">
        <v>131</v>
      </c>
      <c r="S3" s="202" t="s">
        <v>6</v>
      </c>
      <c r="T3" s="202" t="s">
        <v>7</v>
      </c>
      <c r="U3" s="202" t="s">
        <v>8</v>
      </c>
      <c r="V3" s="203" t="s">
        <v>9</v>
      </c>
      <c r="X3" s="201" t="s">
        <v>5</v>
      </c>
      <c r="Y3" s="202" t="s">
        <v>6</v>
      </c>
      <c r="Z3" s="202" t="s">
        <v>7</v>
      </c>
      <c r="AA3" s="202" t="s">
        <v>8</v>
      </c>
      <c r="AB3" s="203" t="s">
        <v>9</v>
      </c>
      <c r="AC3" s="245"/>
      <c r="AD3" s="243"/>
      <c r="AE3" s="242"/>
      <c r="AF3" s="242"/>
      <c r="AG3" s="242"/>
      <c r="AH3" s="242"/>
      <c r="AI3" s="242"/>
      <c r="AJ3" s="242"/>
      <c r="AK3" s="242"/>
      <c r="AL3" s="242"/>
    </row>
    <row r="4" spans="2:38" ht="12.6" customHeight="1" thickBot="1">
      <c r="B4" s="278" t="s">
        <v>22</v>
      </c>
      <c r="C4" s="557">
        <f>Capa!C17</f>
        <v>9865324</v>
      </c>
      <c r="D4" s="558"/>
      <c r="E4" s="558"/>
      <c r="F4" s="120" t="s">
        <v>11</v>
      </c>
      <c r="G4" s="544" t="str">
        <f>Capa!C6</f>
        <v>EXPPOERT CORRIDOR</v>
      </c>
      <c r="H4" s="545"/>
      <c r="I4" s="120"/>
      <c r="J4" s="198"/>
      <c r="K4" s="278" t="s">
        <v>12</v>
      </c>
      <c r="L4" s="120"/>
      <c r="M4" s="255"/>
      <c r="N4" s="546">
        <f>G15*F26*G26*100/D19</f>
        <v>-398.83608250325284</v>
      </c>
      <c r="O4" s="547"/>
      <c r="P4" s="120"/>
      <c r="Q4" s="19" t="s">
        <v>13</v>
      </c>
      <c r="R4" s="25">
        <v>10</v>
      </c>
      <c r="S4" s="25">
        <v>5.7</v>
      </c>
      <c r="T4" s="10">
        <v>16606.322</v>
      </c>
      <c r="U4" s="10">
        <v>1</v>
      </c>
      <c r="V4" s="47">
        <f>T4*U4</f>
        <v>16606.322</v>
      </c>
      <c r="X4" s="311" t="s">
        <v>14</v>
      </c>
      <c r="Y4" s="10" t="s">
        <v>151</v>
      </c>
      <c r="Z4" s="10">
        <v>128</v>
      </c>
      <c r="AA4" s="48">
        <v>1</v>
      </c>
      <c r="AB4" s="163">
        <f>Z4*AA4</f>
        <v>128</v>
      </c>
      <c r="AC4" s="245"/>
      <c r="AD4" s="243"/>
      <c r="AE4" s="242"/>
      <c r="AF4" s="242"/>
      <c r="AG4" s="242"/>
      <c r="AH4" s="242"/>
      <c r="AI4" s="242"/>
      <c r="AJ4" s="242"/>
      <c r="AK4" s="242"/>
      <c r="AL4" s="242"/>
    </row>
    <row r="5" spans="2:38" ht="12.6" customHeight="1" thickBot="1">
      <c r="B5" s="278" t="s">
        <v>10</v>
      </c>
      <c r="C5" s="559" t="str">
        <f>Capa!C10</f>
        <v>12L</v>
      </c>
      <c r="D5" s="559"/>
      <c r="E5" s="559"/>
      <c r="F5" s="120" t="s">
        <v>16</v>
      </c>
      <c r="G5" s="544" t="str">
        <f>Capa!C5</f>
        <v>PARANAGUA</v>
      </c>
      <c r="H5" s="545"/>
      <c r="I5" s="120"/>
      <c r="J5" s="198"/>
      <c r="K5" s="278"/>
      <c r="L5" s="120"/>
      <c r="M5" s="120"/>
      <c r="N5" s="255"/>
      <c r="O5" s="303"/>
      <c r="P5" s="198"/>
      <c r="Q5" s="20" t="s">
        <v>132</v>
      </c>
      <c r="R5" s="26">
        <v>0</v>
      </c>
      <c r="S5" s="26">
        <v>13.94</v>
      </c>
      <c r="T5" s="11">
        <v>0</v>
      </c>
      <c r="U5" s="11">
        <f>U4</f>
        <v>1</v>
      </c>
      <c r="V5" s="47">
        <f t="shared" ref="V5:V25" si="0">T5*U5</f>
        <v>0</v>
      </c>
      <c r="X5" s="20" t="s">
        <v>17</v>
      </c>
      <c r="Y5" s="11" t="s">
        <v>151</v>
      </c>
      <c r="Z5" s="11">
        <v>0</v>
      </c>
      <c r="AA5" s="31">
        <f>AA4</f>
        <v>1</v>
      </c>
      <c r="AB5" s="164">
        <f>Z5*AA5</f>
        <v>0</v>
      </c>
      <c r="AC5" s="245"/>
      <c r="AD5" s="243"/>
      <c r="AE5" s="242"/>
      <c r="AF5" s="242"/>
      <c r="AG5" s="242"/>
      <c r="AH5" s="242"/>
      <c r="AI5" s="242"/>
      <c r="AJ5" s="242"/>
      <c r="AK5" s="242"/>
      <c r="AL5" s="242"/>
    </row>
    <row r="6" spans="2:38" ht="12.6" customHeight="1" thickBot="1">
      <c r="B6" s="278" t="s">
        <v>21</v>
      </c>
      <c r="C6" s="561" t="str">
        <f>Capa!C8</f>
        <v>SOYBEANS IN BULK</v>
      </c>
      <c r="D6" s="561"/>
      <c r="E6" s="561"/>
      <c r="F6" s="120" t="s">
        <v>19</v>
      </c>
      <c r="G6" s="216" t="s">
        <v>184</v>
      </c>
      <c r="H6" s="304" t="s">
        <v>185</v>
      </c>
      <c r="I6" s="120"/>
      <c r="J6" s="198"/>
      <c r="K6" s="278" t="s">
        <v>20</v>
      </c>
      <c r="L6" s="120"/>
      <c r="M6" s="255"/>
      <c r="N6" s="464">
        <f>G15*G15*F31*50/D19</f>
        <v>39.910556929017304</v>
      </c>
      <c r="O6" s="466"/>
      <c r="P6" s="198"/>
      <c r="Q6" s="20" t="s">
        <v>133</v>
      </c>
      <c r="R6" s="26">
        <v>0</v>
      </c>
      <c r="S6" s="26">
        <v>18.260000000000002</v>
      </c>
      <c r="T6" s="11">
        <v>0</v>
      </c>
      <c r="U6" s="11">
        <f t="shared" ref="U6:U20" si="1">U5</f>
        <v>1</v>
      </c>
      <c r="V6" s="47">
        <f t="shared" si="0"/>
        <v>0</v>
      </c>
      <c r="X6" s="20" t="s">
        <v>150</v>
      </c>
      <c r="Y6" s="11" t="s">
        <v>151</v>
      </c>
      <c r="Z6" s="11">
        <v>0</v>
      </c>
      <c r="AA6" s="31">
        <f>AA5</f>
        <v>1</v>
      </c>
      <c r="AB6" s="164">
        <f>Z6*AA6</f>
        <v>0</v>
      </c>
      <c r="AC6" s="245"/>
      <c r="AD6" s="242"/>
      <c r="AE6" s="242"/>
      <c r="AF6" s="242"/>
      <c r="AG6" s="242"/>
      <c r="AH6" s="242"/>
      <c r="AI6" s="242"/>
      <c r="AJ6" s="242"/>
      <c r="AK6" s="242"/>
      <c r="AL6" s="242"/>
    </row>
    <row r="7" spans="2:38" ht="12.6" customHeight="1" thickBot="1">
      <c r="B7" s="273" t="s">
        <v>18</v>
      </c>
      <c r="C7" s="560">
        <v>46061</v>
      </c>
      <c r="D7" s="560"/>
      <c r="E7" s="560"/>
      <c r="F7" s="270"/>
      <c r="G7" s="12">
        <v>0.3298611111111111</v>
      </c>
      <c r="H7" s="13">
        <v>0.41666666666666669</v>
      </c>
      <c r="I7" s="120"/>
      <c r="J7" s="198"/>
      <c r="K7" s="278"/>
      <c r="L7" s="120"/>
      <c r="M7" s="255"/>
      <c r="N7" s="255"/>
      <c r="O7" s="121"/>
      <c r="P7" s="198"/>
      <c r="Q7" s="20" t="s">
        <v>134</v>
      </c>
      <c r="R7" s="26">
        <v>0</v>
      </c>
      <c r="S7" s="26">
        <v>8.86</v>
      </c>
      <c r="T7" s="11">
        <v>0</v>
      </c>
      <c r="U7" s="11">
        <f t="shared" si="1"/>
        <v>1</v>
      </c>
      <c r="V7" s="47">
        <f t="shared" si="0"/>
        <v>0</v>
      </c>
      <c r="X7" s="20"/>
      <c r="Y7" s="11"/>
      <c r="Z7" s="11">
        <v>0</v>
      </c>
      <c r="AA7" s="31">
        <v>1</v>
      </c>
      <c r="AB7" s="164">
        <f t="shared" ref="AB7:AB8" si="2">Z7*AA7</f>
        <v>0</v>
      </c>
      <c r="AC7" s="245"/>
      <c r="AD7" s="242"/>
      <c r="AE7" s="242"/>
      <c r="AF7" s="242"/>
      <c r="AG7" s="242"/>
      <c r="AH7" s="242"/>
      <c r="AI7" s="242"/>
      <c r="AJ7" s="242"/>
      <c r="AK7" s="242"/>
      <c r="AL7" s="242"/>
    </row>
    <row r="8" spans="2:38" ht="12.6" customHeight="1" thickBot="1">
      <c r="B8" s="391" t="s">
        <v>23</v>
      </c>
      <c r="C8" s="461"/>
      <c r="D8" s="461" t="s">
        <v>24</v>
      </c>
      <c r="E8" s="111"/>
      <c r="F8" s="468" t="s">
        <v>25</v>
      </c>
      <c r="G8" s="468"/>
      <c r="H8" s="479" t="s">
        <v>26</v>
      </c>
      <c r="I8" s="302"/>
      <c r="J8" s="198"/>
      <c r="K8" s="278" t="s">
        <v>27</v>
      </c>
      <c r="L8" s="120"/>
      <c r="M8" s="120"/>
      <c r="N8" s="546">
        <f>C26+(N4+N6)</f>
        <v>29930.789723077651</v>
      </c>
      <c r="O8" s="547"/>
      <c r="P8" s="120"/>
      <c r="Q8" s="20" t="s">
        <v>135</v>
      </c>
      <c r="R8" s="26">
        <v>0</v>
      </c>
      <c r="S8" s="26">
        <v>6.24</v>
      </c>
      <c r="T8" s="11">
        <v>0</v>
      </c>
      <c r="U8" s="11">
        <f t="shared" si="1"/>
        <v>1</v>
      </c>
      <c r="V8" s="47">
        <f t="shared" si="0"/>
        <v>0</v>
      </c>
      <c r="X8" s="34"/>
      <c r="Y8" s="35"/>
      <c r="Z8" s="35">
        <v>0</v>
      </c>
      <c r="AA8" s="49">
        <v>1</v>
      </c>
      <c r="AB8" s="164">
        <f t="shared" si="2"/>
        <v>0</v>
      </c>
      <c r="AC8" s="245"/>
      <c r="AD8" s="242"/>
      <c r="AE8" s="242"/>
      <c r="AF8" s="242"/>
      <c r="AG8" s="242"/>
      <c r="AH8" s="242"/>
      <c r="AI8" s="242"/>
      <c r="AJ8" s="242"/>
      <c r="AK8" s="242"/>
      <c r="AL8" s="242"/>
    </row>
    <row r="9" spans="2:38" ht="12.6" customHeight="1" thickBot="1">
      <c r="B9" s="112" t="s">
        <v>28</v>
      </c>
      <c r="C9" s="113" t="s">
        <v>29</v>
      </c>
      <c r="D9" s="467"/>
      <c r="E9" s="113"/>
      <c r="F9" s="469"/>
      <c r="G9" s="469"/>
      <c r="H9" s="480"/>
      <c r="I9" s="302"/>
      <c r="J9" s="198"/>
      <c r="K9" s="288"/>
      <c r="O9" s="284"/>
      <c r="P9" s="120"/>
      <c r="Q9" s="20" t="s">
        <v>136</v>
      </c>
      <c r="R9" s="26">
        <v>0</v>
      </c>
      <c r="S9" s="26">
        <v>6.49</v>
      </c>
      <c r="T9" s="11">
        <v>0</v>
      </c>
      <c r="U9" s="11">
        <f t="shared" si="1"/>
        <v>1</v>
      </c>
      <c r="V9" s="47">
        <f t="shared" si="0"/>
        <v>0</v>
      </c>
      <c r="AB9" s="301">
        <f>SUM(AB4:AB8)</f>
        <v>128</v>
      </c>
      <c r="AC9" s="245"/>
      <c r="AD9" s="242"/>
      <c r="AE9" s="242"/>
      <c r="AF9" s="242"/>
      <c r="AG9" s="242"/>
      <c r="AH9" s="242"/>
      <c r="AI9" s="242"/>
      <c r="AJ9" s="242"/>
      <c r="AK9" s="242"/>
      <c r="AL9" s="242"/>
    </row>
    <row r="10" spans="2:38" ht="12.6" customHeight="1" thickBot="1">
      <c r="B10" s="2">
        <v>4.8</v>
      </c>
      <c r="C10" s="10">
        <v>4.76</v>
      </c>
      <c r="D10" s="481">
        <f>AVERAGE(B10:C10)</f>
        <v>4.7799999999999994</v>
      </c>
      <c r="E10" s="482"/>
      <c r="F10" s="542">
        <f>D16*D15/D20</f>
        <v>2.7032518111008239E-2</v>
      </c>
      <c r="G10" s="543"/>
      <c r="H10" s="300">
        <f>D10-F10-O25</f>
        <v>4.7529674818889909</v>
      </c>
      <c r="I10" s="285"/>
      <c r="J10" s="198"/>
      <c r="K10" s="278" t="s">
        <v>30</v>
      </c>
      <c r="L10" s="120"/>
      <c r="M10" s="120"/>
      <c r="N10" s="548">
        <v>1.016</v>
      </c>
      <c r="O10" s="549"/>
      <c r="P10" s="120"/>
      <c r="Q10" s="20" t="s">
        <v>137</v>
      </c>
      <c r="R10" s="26">
        <v>0</v>
      </c>
      <c r="S10" s="26">
        <v>16.100000000000001</v>
      </c>
      <c r="T10" s="11">
        <v>0</v>
      </c>
      <c r="U10" s="11">
        <f t="shared" si="1"/>
        <v>1</v>
      </c>
      <c r="V10" s="47">
        <f t="shared" si="0"/>
        <v>0</v>
      </c>
      <c r="AC10" s="245"/>
      <c r="AD10" s="242"/>
      <c r="AE10" s="242"/>
      <c r="AF10" s="242"/>
      <c r="AG10" s="242"/>
      <c r="AH10" s="242"/>
      <c r="AI10" s="242"/>
      <c r="AJ10" s="242"/>
      <c r="AK10" s="242"/>
      <c r="AL10" s="242"/>
    </row>
    <row r="11" spans="2:38" ht="12.6" customHeight="1" thickBot="1">
      <c r="B11" s="3">
        <v>5.87</v>
      </c>
      <c r="C11" s="11">
        <v>5.81</v>
      </c>
      <c r="D11" s="483">
        <f>AVERAGE(B11:C11)</f>
        <v>5.84</v>
      </c>
      <c r="E11" s="484"/>
      <c r="F11" s="483">
        <f>D17*D15/D20</f>
        <v>0</v>
      </c>
      <c r="G11" s="484"/>
      <c r="H11" s="115">
        <f>D11-F11-O26</f>
        <v>5.84</v>
      </c>
      <c r="I11" s="285"/>
      <c r="J11" s="198"/>
      <c r="K11" s="288" t="s">
        <v>31</v>
      </c>
      <c r="N11" s="562">
        <v>0</v>
      </c>
      <c r="O11" s="512"/>
      <c r="P11" s="120"/>
      <c r="Q11" s="20" t="s">
        <v>138</v>
      </c>
      <c r="R11" s="26">
        <v>0</v>
      </c>
      <c r="S11" s="26">
        <v>7.04</v>
      </c>
      <c r="T11" s="11">
        <v>0</v>
      </c>
      <c r="U11" s="11">
        <f t="shared" si="1"/>
        <v>1</v>
      </c>
      <c r="V11" s="47">
        <f t="shared" si="0"/>
        <v>0</v>
      </c>
      <c r="X11" s="405" t="s">
        <v>32</v>
      </c>
      <c r="Y11" s="406"/>
      <c r="Z11" s="406"/>
      <c r="AA11" s="461"/>
      <c r="AB11" s="392"/>
      <c r="AC11" s="245"/>
      <c r="AD11" s="242"/>
      <c r="AE11" s="242"/>
      <c r="AF11" s="242"/>
      <c r="AG11" s="242"/>
      <c r="AH11" s="242"/>
      <c r="AI11" s="242"/>
      <c r="AJ11" s="242"/>
      <c r="AK11" s="242"/>
      <c r="AL11" s="242"/>
    </row>
    <row r="12" spans="2:38" ht="12.6" customHeight="1" thickBot="1">
      <c r="B12" s="4">
        <v>6.92</v>
      </c>
      <c r="C12" s="35">
        <v>6.9</v>
      </c>
      <c r="D12" s="462">
        <f>AVERAGE(B12:C12)</f>
        <v>6.91</v>
      </c>
      <c r="E12" s="463"/>
      <c r="F12" s="462">
        <f>D18*D15/D20</f>
        <v>0.10534560705920806</v>
      </c>
      <c r="G12" s="463"/>
      <c r="H12" s="116">
        <f>D12+F12-O27</f>
        <v>7.0153456070592082</v>
      </c>
      <c r="I12" s="285"/>
      <c r="J12" s="198"/>
      <c r="K12" s="288"/>
      <c r="O12" s="284"/>
      <c r="P12" s="120"/>
      <c r="Q12" s="20" t="s">
        <v>139</v>
      </c>
      <c r="R12" s="26">
        <v>0</v>
      </c>
      <c r="S12" s="26">
        <v>12.01</v>
      </c>
      <c r="T12" s="11">
        <v>0</v>
      </c>
      <c r="U12" s="11">
        <f t="shared" si="1"/>
        <v>1</v>
      </c>
      <c r="V12" s="47">
        <f t="shared" si="0"/>
        <v>0</v>
      </c>
      <c r="X12" s="298" t="s">
        <v>33</v>
      </c>
      <c r="Y12" s="299"/>
      <c r="Z12" s="299"/>
      <c r="AA12" s="456">
        <v>549.23</v>
      </c>
      <c r="AB12" s="457"/>
      <c r="AC12" s="245"/>
      <c r="AD12" s="242"/>
      <c r="AE12" s="242"/>
      <c r="AF12" s="242"/>
      <c r="AG12" s="242"/>
      <c r="AH12" s="242"/>
      <c r="AI12" s="242"/>
      <c r="AJ12" s="242"/>
      <c r="AK12" s="242"/>
      <c r="AL12" s="242"/>
    </row>
    <row r="13" spans="2:38" ht="12.6" customHeight="1" thickBot="1">
      <c r="B13" s="117" t="s">
        <v>34</v>
      </c>
      <c r="C13" s="492">
        <f>AVERAGE(H12,H10)</f>
        <v>5.8841565444740995</v>
      </c>
      <c r="D13" s="493"/>
      <c r="E13" s="494"/>
      <c r="F13" s="405" t="s">
        <v>35</v>
      </c>
      <c r="G13" s="398"/>
      <c r="H13" s="119">
        <f>(C13+H11)/2</f>
        <v>5.8620782722370492</v>
      </c>
      <c r="I13" s="294"/>
      <c r="J13" s="198"/>
      <c r="K13" s="278" t="s">
        <v>36</v>
      </c>
      <c r="L13" s="120"/>
      <c r="M13" s="120"/>
      <c r="N13" s="526">
        <f>N8/1.025*N10</f>
        <v>29667.9827889238</v>
      </c>
      <c r="O13" s="527"/>
      <c r="P13" s="120"/>
      <c r="Q13" s="20" t="s">
        <v>140</v>
      </c>
      <c r="R13" s="26">
        <v>0</v>
      </c>
      <c r="S13" s="26">
        <v>15.04</v>
      </c>
      <c r="T13" s="11">
        <v>0</v>
      </c>
      <c r="U13" s="11">
        <f t="shared" si="1"/>
        <v>1</v>
      </c>
      <c r="V13" s="47">
        <f t="shared" si="0"/>
        <v>0</v>
      </c>
      <c r="X13" s="278" t="s">
        <v>37</v>
      </c>
      <c r="Y13" s="120"/>
      <c r="Z13" s="120"/>
      <c r="AA13" s="427">
        <v>226.90199999999999</v>
      </c>
      <c r="AB13" s="428"/>
      <c r="AC13" s="245"/>
      <c r="AD13" s="242"/>
      <c r="AE13" s="242"/>
      <c r="AF13" s="242"/>
      <c r="AG13" s="242"/>
      <c r="AH13" s="242"/>
      <c r="AI13" s="242"/>
      <c r="AJ13" s="242"/>
      <c r="AK13" s="242"/>
      <c r="AL13" s="242"/>
    </row>
    <row r="14" spans="2:38" ht="12.6" customHeight="1" thickBot="1">
      <c r="B14" s="285"/>
      <c r="C14" s="295"/>
      <c r="D14" s="295"/>
      <c r="E14" s="295"/>
      <c r="F14" s="555"/>
      <c r="G14" s="555"/>
      <c r="H14" s="296"/>
      <c r="I14" s="120"/>
      <c r="J14" s="198"/>
      <c r="K14" s="278"/>
      <c r="L14" s="120"/>
      <c r="M14" s="120"/>
      <c r="N14" s="261"/>
      <c r="O14" s="297"/>
      <c r="P14" s="120"/>
      <c r="Q14" s="20" t="s">
        <v>141</v>
      </c>
      <c r="R14" s="26">
        <v>0</v>
      </c>
      <c r="S14" s="26">
        <v>15.03</v>
      </c>
      <c r="T14" s="11">
        <v>0</v>
      </c>
      <c r="U14" s="11">
        <f t="shared" si="1"/>
        <v>1</v>
      </c>
      <c r="V14" s="47">
        <f t="shared" si="0"/>
        <v>0</v>
      </c>
      <c r="X14" s="278" t="s">
        <v>38</v>
      </c>
      <c r="Y14" s="120"/>
      <c r="Z14" s="120"/>
      <c r="AA14" s="427">
        <v>0</v>
      </c>
      <c r="AB14" s="428"/>
      <c r="AC14" s="245"/>
      <c r="AD14" s="242"/>
      <c r="AE14" s="242"/>
      <c r="AF14" s="242"/>
      <c r="AG14" s="242"/>
      <c r="AH14" s="242"/>
      <c r="AI14" s="242"/>
      <c r="AJ14" s="242"/>
      <c r="AK14" s="242"/>
      <c r="AL14" s="242"/>
    </row>
    <row r="15" spans="2:38" ht="12.6" customHeight="1" thickBot="1">
      <c r="B15" s="405" t="s">
        <v>39</v>
      </c>
      <c r="C15" s="398"/>
      <c r="D15" s="293">
        <f>D12-D10</f>
        <v>2.1300000000000008</v>
      </c>
      <c r="E15" s="285"/>
      <c r="F15" s="134" t="s">
        <v>40</v>
      </c>
      <c r="G15" s="553">
        <f>H12-H10</f>
        <v>2.2623781251702173</v>
      </c>
      <c r="H15" s="554"/>
      <c r="I15" s="255"/>
      <c r="J15" s="198"/>
      <c r="K15" s="278" t="str">
        <f>IF(Capa!L4="Loading","Loaded","Discharged")</f>
        <v>Loaded</v>
      </c>
      <c r="L15" s="120"/>
      <c r="N15" s="532">
        <v>59828.934999999998</v>
      </c>
      <c r="O15" s="533"/>
      <c r="P15" s="120"/>
      <c r="Q15" s="20" t="s">
        <v>142</v>
      </c>
      <c r="R15" s="26">
        <v>0</v>
      </c>
      <c r="S15" s="26">
        <v>6.13</v>
      </c>
      <c r="T15" s="11">
        <v>0</v>
      </c>
      <c r="U15" s="11">
        <f t="shared" si="1"/>
        <v>1</v>
      </c>
      <c r="V15" s="47">
        <f t="shared" si="0"/>
        <v>0</v>
      </c>
      <c r="X15" s="46" t="s">
        <v>41</v>
      </c>
      <c r="Y15" s="45"/>
      <c r="Z15" s="45"/>
      <c r="AA15" s="429">
        <v>0</v>
      </c>
      <c r="AB15" s="430"/>
      <c r="AC15" s="245"/>
      <c r="AD15" s="242"/>
      <c r="AE15" s="242"/>
      <c r="AF15" s="242"/>
      <c r="AG15" s="242"/>
      <c r="AH15" s="242"/>
      <c r="AI15" s="242"/>
      <c r="AJ15" s="242"/>
      <c r="AK15" s="242"/>
      <c r="AL15" s="242"/>
    </row>
    <row r="16" spans="2:38" ht="12.6" customHeight="1" thickBot="1">
      <c r="B16" s="550" t="s">
        <v>42</v>
      </c>
      <c r="C16" s="291" t="s">
        <v>43</v>
      </c>
      <c r="D16" s="5">
        <v>2.33</v>
      </c>
      <c r="E16" s="285"/>
      <c r="I16" s="120"/>
      <c r="J16" s="198"/>
      <c r="K16" s="278" t="s">
        <v>45</v>
      </c>
      <c r="L16" s="120"/>
      <c r="N16" s="534">
        <f>AA21</f>
        <v>17510.454000000002</v>
      </c>
      <c r="O16" s="535"/>
      <c r="P16" s="120"/>
      <c r="Q16" s="20" t="s">
        <v>143</v>
      </c>
      <c r="R16" s="26">
        <v>0</v>
      </c>
      <c r="S16" s="26">
        <v>6.14</v>
      </c>
      <c r="T16" s="11">
        <v>0</v>
      </c>
      <c r="U16" s="11">
        <f t="shared" si="1"/>
        <v>1</v>
      </c>
      <c r="V16" s="47">
        <f t="shared" si="0"/>
        <v>0</v>
      </c>
      <c r="X16" s="288"/>
      <c r="AB16" s="284"/>
      <c r="AC16" s="245"/>
      <c r="AD16" s="242"/>
      <c r="AE16" s="242"/>
      <c r="AF16" s="242"/>
      <c r="AG16" s="242"/>
      <c r="AH16" s="242"/>
      <c r="AI16" s="242"/>
      <c r="AJ16" s="242"/>
      <c r="AK16" s="242"/>
      <c r="AL16" s="242"/>
    </row>
    <row r="17" spans="2:38" ht="12.6" customHeight="1" thickBot="1">
      <c r="B17" s="551"/>
      <c r="C17" s="193" t="s">
        <v>46</v>
      </c>
      <c r="D17" s="6">
        <v>0</v>
      </c>
      <c r="E17" s="285"/>
      <c r="F17" s="100" t="s">
        <v>44</v>
      </c>
      <c r="G17" s="289">
        <f>(H11-C13)*100</f>
        <v>-4.4156544474099668</v>
      </c>
      <c r="H17" s="290" t="s">
        <v>226</v>
      </c>
      <c r="I17" s="287"/>
      <c r="J17" s="198"/>
      <c r="K17" s="278" t="s">
        <v>47</v>
      </c>
      <c r="L17" s="120"/>
      <c r="N17" s="536">
        <f>N13-N16</f>
        <v>12157.528788923799</v>
      </c>
      <c r="O17" s="537"/>
      <c r="P17" s="120"/>
      <c r="Q17" s="20" t="s">
        <v>144</v>
      </c>
      <c r="R17" s="26">
        <v>0</v>
      </c>
      <c r="S17" s="26">
        <v>6.23</v>
      </c>
      <c r="T17" s="11">
        <v>0</v>
      </c>
      <c r="U17" s="11">
        <f t="shared" si="1"/>
        <v>1</v>
      </c>
      <c r="V17" s="47">
        <f t="shared" si="0"/>
        <v>0</v>
      </c>
      <c r="X17" s="278" t="s">
        <v>48</v>
      </c>
      <c r="Y17" s="120"/>
      <c r="Z17" s="120"/>
      <c r="AA17" s="522">
        <f>AA12+AA13+AA14+AA15</f>
        <v>776.13200000000006</v>
      </c>
      <c r="AB17" s="523"/>
      <c r="AC17" s="245"/>
      <c r="AD17" s="243"/>
      <c r="AE17" s="242"/>
      <c r="AF17" s="242"/>
      <c r="AG17" s="242"/>
      <c r="AH17" s="242"/>
      <c r="AI17" s="242"/>
      <c r="AJ17" s="242"/>
      <c r="AK17" s="242"/>
      <c r="AL17" s="242"/>
    </row>
    <row r="18" spans="2:38" ht="12.6" customHeight="1" thickBot="1">
      <c r="B18" s="552"/>
      <c r="C18" s="292" t="s">
        <v>49</v>
      </c>
      <c r="D18" s="7">
        <v>9.08</v>
      </c>
      <c r="E18" s="285"/>
      <c r="F18" s="286"/>
      <c r="G18" s="451" t="str">
        <f>IF(G17&lt;0,"Hogging","Sagging")</f>
        <v>Hogging</v>
      </c>
      <c r="H18" s="452"/>
      <c r="I18" s="287"/>
      <c r="J18" s="198"/>
      <c r="K18" s="278" t="s">
        <v>50</v>
      </c>
      <c r="L18" s="120"/>
      <c r="N18" s="538">
        <v>11918</v>
      </c>
      <c r="O18" s="505"/>
      <c r="P18" s="120"/>
      <c r="Q18" s="20" t="s">
        <v>145</v>
      </c>
      <c r="R18" s="26">
        <v>0</v>
      </c>
      <c r="S18" s="26">
        <v>6.23</v>
      </c>
      <c r="T18" s="11">
        <v>0</v>
      </c>
      <c r="U18" s="11">
        <f t="shared" si="1"/>
        <v>1</v>
      </c>
      <c r="V18" s="47">
        <f t="shared" si="0"/>
        <v>0</v>
      </c>
      <c r="X18" s="283" t="s">
        <v>51</v>
      </c>
      <c r="Y18" s="120"/>
      <c r="Z18" s="120"/>
      <c r="AA18" s="418">
        <f>V31</f>
        <v>16606.322</v>
      </c>
      <c r="AB18" s="419"/>
      <c r="AC18" s="245"/>
      <c r="AD18" s="243"/>
      <c r="AE18" s="242"/>
      <c r="AF18" s="242"/>
      <c r="AG18" s="242"/>
      <c r="AH18" s="242"/>
      <c r="AI18" s="242"/>
      <c r="AJ18" s="242"/>
      <c r="AK18" s="242"/>
      <c r="AL18" s="242"/>
    </row>
    <row r="19" spans="2:38" ht="12.6" customHeight="1" thickBot="1">
      <c r="C19" s="280" t="s">
        <v>52</v>
      </c>
      <c r="D19" s="163">
        <f>Capa!C21</f>
        <v>195</v>
      </c>
      <c r="H19" s="284"/>
      <c r="I19" s="120"/>
      <c r="J19" s="198"/>
      <c r="K19" s="278" t="s">
        <v>53</v>
      </c>
      <c r="L19" s="120"/>
      <c r="N19" s="539"/>
      <c r="O19" s="540"/>
      <c r="P19" s="120"/>
      <c r="Q19" s="21" t="s">
        <v>146</v>
      </c>
      <c r="R19" s="26">
        <v>0</v>
      </c>
      <c r="S19" s="26">
        <v>5.24</v>
      </c>
      <c r="T19" s="11">
        <v>0</v>
      </c>
      <c r="U19" s="11">
        <v>1</v>
      </c>
      <c r="V19" s="47">
        <f t="shared" si="0"/>
        <v>0</v>
      </c>
      <c r="X19" s="283" t="s">
        <v>54</v>
      </c>
      <c r="Y19" s="120"/>
      <c r="Z19" s="120"/>
      <c r="AA19" s="571">
        <f>AB9</f>
        <v>128</v>
      </c>
      <c r="AB19" s="446"/>
      <c r="AC19" s="245"/>
      <c r="AD19" s="243"/>
      <c r="AE19" s="242"/>
      <c r="AF19" s="242"/>
      <c r="AG19" s="242"/>
      <c r="AH19" s="242"/>
      <c r="AI19" s="242"/>
      <c r="AJ19" s="242"/>
      <c r="AK19" s="242"/>
      <c r="AL19" s="242"/>
    </row>
    <row r="20" spans="2:38" ht="12.6" customHeight="1" thickBot="1">
      <c r="C20" s="279" t="s">
        <v>55</v>
      </c>
      <c r="D20" s="164">
        <f>D19-D18-D16</f>
        <v>183.58999999999997</v>
      </c>
      <c r="E20" s="261"/>
      <c r="F20" s="280" t="s">
        <v>56</v>
      </c>
      <c r="G20" s="509">
        <v>0.55000000000000004</v>
      </c>
      <c r="H20" s="510"/>
      <c r="I20" s="277"/>
      <c r="J20" s="198"/>
      <c r="K20" s="278"/>
      <c r="L20" s="120"/>
      <c r="M20" s="120"/>
      <c r="N20" s="120"/>
      <c r="O20" s="121"/>
      <c r="P20" s="120"/>
      <c r="Q20" s="20" t="s">
        <v>147</v>
      </c>
      <c r="R20" s="26">
        <v>0</v>
      </c>
      <c r="S20" s="26">
        <v>5.26</v>
      </c>
      <c r="T20" s="11">
        <v>0</v>
      </c>
      <c r="U20" s="11">
        <f t="shared" si="1"/>
        <v>1</v>
      </c>
      <c r="V20" s="47">
        <f t="shared" si="0"/>
        <v>0</v>
      </c>
      <c r="X20" s="274"/>
      <c r="Y20" s="198"/>
      <c r="Z20" s="198"/>
      <c r="AA20" s="275"/>
      <c r="AB20" s="276"/>
      <c r="AC20" s="245"/>
      <c r="AD20" s="242"/>
      <c r="AE20" s="242"/>
      <c r="AF20" s="242"/>
      <c r="AG20" s="242"/>
      <c r="AH20" s="242"/>
      <c r="AI20" s="242"/>
      <c r="AJ20" s="242"/>
      <c r="AK20" s="242"/>
      <c r="AL20" s="242"/>
    </row>
    <row r="21" spans="2:38" ht="12.6" customHeight="1" thickBot="1">
      <c r="C21" s="281" t="s">
        <v>57</v>
      </c>
      <c r="D21" s="213">
        <f>Capa!C23</f>
        <v>32.24</v>
      </c>
      <c r="E21" s="282"/>
      <c r="F21" s="281" t="s">
        <v>58</v>
      </c>
      <c r="G21" s="511">
        <v>10</v>
      </c>
      <c r="H21" s="512"/>
      <c r="I21" s="272"/>
      <c r="J21" s="198"/>
      <c r="K21" s="273" t="s">
        <v>59</v>
      </c>
      <c r="L21" s="270"/>
      <c r="M21" s="50">
        <v>230</v>
      </c>
      <c r="N21" s="270" t="s">
        <v>60</v>
      </c>
      <c r="O21" s="271">
        <f>N13-N16-N18-N19</f>
        <v>239.52878892379886</v>
      </c>
      <c r="P21" s="120"/>
      <c r="Q21" s="20" t="s">
        <v>148</v>
      </c>
      <c r="R21" s="26">
        <v>0</v>
      </c>
      <c r="S21" s="26">
        <v>5.93</v>
      </c>
      <c r="T21" s="11">
        <v>0</v>
      </c>
      <c r="U21" s="11">
        <v>1</v>
      </c>
      <c r="V21" s="47">
        <f t="shared" si="0"/>
        <v>0</v>
      </c>
      <c r="X21" s="405" t="s">
        <v>61</v>
      </c>
      <c r="Y21" s="406"/>
      <c r="Z21" s="398"/>
      <c r="AA21" s="420">
        <f>AA17+AA18+AA19</f>
        <v>17510.454000000002</v>
      </c>
      <c r="AB21" s="421"/>
      <c r="AC21" s="245"/>
      <c r="AD21" s="242"/>
      <c r="AE21" s="242"/>
      <c r="AF21" s="242"/>
      <c r="AG21" s="242"/>
      <c r="AH21" s="242"/>
      <c r="AI21" s="242"/>
      <c r="AJ21" s="242"/>
      <c r="AK21" s="242"/>
      <c r="AL21" s="242"/>
    </row>
    <row r="22" spans="2:38" ht="12.6" customHeight="1" thickBot="1">
      <c r="I22" s="106"/>
      <c r="J22" s="198"/>
      <c r="K22" s="120"/>
      <c r="L22" s="120"/>
      <c r="M22" s="120"/>
      <c r="N22" s="120"/>
      <c r="O22" s="120"/>
      <c r="P22" s="120"/>
      <c r="Q22" s="20" t="s">
        <v>149</v>
      </c>
      <c r="R22" s="26">
        <v>0</v>
      </c>
      <c r="S22" s="26">
        <v>5.81</v>
      </c>
      <c r="T22" s="11">
        <v>0</v>
      </c>
      <c r="U22" s="11">
        <v>1</v>
      </c>
      <c r="V22" s="47">
        <f t="shared" si="0"/>
        <v>0</v>
      </c>
      <c r="AC22" s="245"/>
      <c r="AD22" s="242"/>
      <c r="AE22" s="242"/>
      <c r="AF22" s="242"/>
      <c r="AG22" s="242"/>
      <c r="AH22" s="242"/>
      <c r="AI22" s="242"/>
      <c r="AJ22" s="242"/>
      <c r="AK22" s="242"/>
      <c r="AL22" s="242"/>
    </row>
    <row r="23" spans="2:38" ht="12.6" customHeight="1" thickBot="1">
      <c r="B23" s="117" t="s">
        <v>62</v>
      </c>
      <c r="C23" s="406" t="s">
        <v>63</v>
      </c>
      <c r="D23" s="406"/>
      <c r="E23" s="491"/>
      <c r="F23" s="135" t="s">
        <v>64</v>
      </c>
      <c r="G23" s="397" t="s">
        <v>65</v>
      </c>
      <c r="H23" s="398"/>
      <c r="I23" s="255"/>
      <c r="J23" s="198"/>
      <c r="K23" s="405" t="s">
        <v>66</v>
      </c>
      <c r="L23" s="406"/>
      <c r="M23" s="398"/>
      <c r="N23" s="120"/>
      <c r="O23" s="120"/>
      <c r="P23" s="120"/>
      <c r="Q23" s="20" t="s">
        <v>180</v>
      </c>
      <c r="R23" s="26">
        <v>0</v>
      </c>
      <c r="S23" s="26">
        <v>5.62</v>
      </c>
      <c r="T23" s="11">
        <v>0</v>
      </c>
      <c r="U23" s="11">
        <v>1</v>
      </c>
      <c r="V23" s="47">
        <f t="shared" si="0"/>
        <v>0</v>
      </c>
      <c r="AC23" s="245"/>
      <c r="AD23" s="242"/>
      <c r="AE23" s="242"/>
      <c r="AF23" s="242"/>
      <c r="AG23" s="242"/>
      <c r="AH23" s="242"/>
      <c r="AI23" s="242"/>
      <c r="AJ23" s="242"/>
      <c r="AK23" s="242"/>
      <c r="AL23" s="242"/>
    </row>
    <row r="24" spans="2:38" ht="12.6" customHeight="1" thickBot="1">
      <c r="B24" s="8">
        <v>5.85</v>
      </c>
      <c r="C24" s="394">
        <v>30284</v>
      </c>
      <c r="D24" s="395"/>
      <c r="E24" s="396"/>
      <c r="F24" s="10">
        <v>55.1</v>
      </c>
      <c r="G24" s="403">
        <v>-6.24</v>
      </c>
      <c r="H24" s="404"/>
      <c r="I24" s="267">
        <f>B25-B24</f>
        <v>1.0000000000000675E-2</v>
      </c>
      <c r="J24" s="198"/>
      <c r="K24" s="210">
        <f>D19/2</f>
        <v>97.5</v>
      </c>
      <c r="L24" s="14">
        <v>0</v>
      </c>
      <c r="M24" s="212">
        <f>K24-L24</f>
        <v>97.5</v>
      </c>
      <c r="O24" s="117" t="s">
        <v>67</v>
      </c>
      <c r="Q24" s="20" t="s">
        <v>181</v>
      </c>
      <c r="R24" s="26">
        <v>0</v>
      </c>
      <c r="S24" s="26">
        <v>5.62</v>
      </c>
      <c r="T24" s="11">
        <v>0</v>
      </c>
      <c r="U24" s="11">
        <v>1</v>
      </c>
      <c r="V24" s="47">
        <f t="shared" si="0"/>
        <v>0</v>
      </c>
      <c r="Y24" s="110" t="s">
        <v>192</v>
      </c>
      <c r="Z24" s="387">
        <f>((C11-B11)/D21)*57.3</f>
        <v>-0.10663771712158897</v>
      </c>
      <c r="AC24" s="245"/>
      <c r="AD24" s="242"/>
      <c r="AE24" s="242"/>
      <c r="AF24" s="242"/>
      <c r="AG24" s="242"/>
      <c r="AH24" s="242"/>
      <c r="AI24" s="242"/>
      <c r="AJ24" s="242"/>
      <c r="AK24" s="242"/>
      <c r="AL24" s="242"/>
    </row>
    <row r="25" spans="2:38" ht="12.6" customHeight="1" thickBot="1">
      <c r="B25" s="9">
        <v>5.86</v>
      </c>
      <c r="C25" s="449">
        <v>30339</v>
      </c>
      <c r="D25" s="495"/>
      <c r="E25" s="496"/>
      <c r="F25" s="11">
        <v>55.1</v>
      </c>
      <c r="G25" s="401">
        <v>-6.23</v>
      </c>
      <c r="H25" s="402"/>
      <c r="I25" s="267">
        <f>B26-B24</f>
        <v>1.0391361185249082E-3</v>
      </c>
      <c r="J25" s="198"/>
      <c r="K25" s="147"/>
      <c r="L25" s="15">
        <v>0</v>
      </c>
      <c r="M25" s="213">
        <f>K24-L25</f>
        <v>97.5</v>
      </c>
      <c r="N25" s="269" t="s">
        <v>43</v>
      </c>
      <c r="O25" s="16">
        <v>0</v>
      </c>
      <c r="P25" s="260"/>
      <c r="Q25" s="20" t="s">
        <v>76</v>
      </c>
      <c r="R25" s="26">
        <v>0</v>
      </c>
      <c r="S25" s="26">
        <v>5.62</v>
      </c>
      <c r="T25" s="11">
        <v>0</v>
      </c>
      <c r="U25" s="11">
        <v>1</v>
      </c>
      <c r="V25" s="47">
        <f t="shared" si="0"/>
        <v>0</v>
      </c>
      <c r="Y25" s="569" t="str">
        <f>IF(Z24&lt;0,"Port Side",IF(Z24&gt;0,"Starboard Side","Upright"))</f>
        <v>Port Side</v>
      </c>
      <c r="Z25" s="570"/>
      <c r="AC25" s="245"/>
      <c r="AD25" s="242"/>
      <c r="AE25" s="242"/>
      <c r="AF25" s="242"/>
      <c r="AG25" s="242"/>
      <c r="AH25" s="242"/>
      <c r="AI25" s="242"/>
      <c r="AJ25" s="242"/>
      <c r="AK25" s="242"/>
      <c r="AL25" s="242"/>
    </row>
    <row r="26" spans="2:38" ht="12.6" customHeight="1" thickBot="1">
      <c r="B26" s="136">
        <f>(H13+H11)/2-O28</f>
        <v>5.8510391361185246</v>
      </c>
      <c r="C26" s="445">
        <f>C24+(C25-C24)*$I26</f>
        <v>30289.715248651886</v>
      </c>
      <c r="D26" s="497"/>
      <c r="E26" s="498"/>
      <c r="F26" s="137">
        <f>F24+(F25-F24)*$I26</f>
        <v>55.1</v>
      </c>
      <c r="G26" s="399">
        <f>G24+(G25-G24)*$I26</f>
        <v>-6.2389608638814753</v>
      </c>
      <c r="H26" s="400"/>
      <c r="I26" s="267">
        <f>I25/I24</f>
        <v>0.10391361185248381</v>
      </c>
      <c r="J26" s="198"/>
      <c r="K26" s="198"/>
      <c r="L26" s="198"/>
      <c r="M26" s="198"/>
      <c r="N26" s="268" t="s">
        <v>69</v>
      </c>
      <c r="O26" s="17">
        <v>0</v>
      </c>
      <c r="P26" s="198"/>
      <c r="Q26" s="20"/>
      <c r="R26" s="26">
        <v>0</v>
      </c>
      <c r="S26" s="26"/>
      <c r="T26" s="11"/>
      <c r="U26" s="11"/>
      <c r="V26" s="47"/>
      <c r="AC26" s="245"/>
      <c r="AD26" s="242"/>
      <c r="AE26" s="242"/>
      <c r="AF26" s="242"/>
      <c r="AG26" s="242"/>
      <c r="AH26" s="242"/>
      <c r="AI26" s="242"/>
      <c r="AJ26" s="242"/>
      <c r="AK26" s="242"/>
      <c r="AL26" s="242"/>
    </row>
    <row r="27" spans="2:38" ht="12.6" customHeight="1" thickBot="1">
      <c r="B27" s="134" t="s">
        <v>71</v>
      </c>
      <c r="C27" s="397" t="s">
        <v>72</v>
      </c>
      <c r="D27" s="406"/>
      <c r="E27" s="491"/>
      <c r="F27" s="135" t="s">
        <v>73</v>
      </c>
      <c r="G27" s="397" t="s">
        <v>74</v>
      </c>
      <c r="H27" s="398"/>
      <c r="I27" s="255"/>
      <c r="J27" s="198"/>
      <c r="K27" s="405" t="s">
        <v>75</v>
      </c>
      <c r="L27" s="406"/>
      <c r="M27" s="398"/>
      <c r="N27" s="266" t="s">
        <v>49</v>
      </c>
      <c r="O27" s="17">
        <v>0</v>
      </c>
      <c r="P27" s="198"/>
      <c r="Q27" s="20"/>
      <c r="R27" s="26">
        <v>0</v>
      </c>
      <c r="S27" s="26"/>
      <c r="T27" s="11"/>
      <c r="U27" s="11"/>
      <c r="V27" s="47"/>
      <c r="Y27" s="567" t="s">
        <v>68</v>
      </c>
      <c r="Z27" s="467"/>
      <c r="AA27" s="568"/>
      <c r="AC27" s="245"/>
      <c r="AD27" s="242"/>
      <c r="AE27" s="242"/>
      <c r="AF27" s="242"/>
      <c r="AG27" s="242"/>
      <c r="AH27" s="242"/>
      <c r="AI27" s="242"/>
      <c r="AJ27" s="242"/>
      <c r="AK27" s="242"/>
      <c r="AL27" s="242"/>
    </row>
    <row r="28" spans="2:38" ht="12.6" customHeight="1" thickBot="1">
      <c r="B28" s="140">
        <f>B24-0.5</f>
        <v>5.35</v>
      </c>
      <c r="C28" s="394">
        <v>656.3</v>
      </c>
      <c r="D28" s="395"/>
      <c r="E28" s="396"/>
      <c r="F28" s="144">
        <f>B24+0.5</f>
        <v>6.35</v>
      </c>
      <c r="G28" s="394">
        <v>686.7</v>
      </c>
      <c r="H28" s="505"/>
      <c r="I28" s="255"/>
      <c r="J28" s="198"/>
      <c r="K28" s="185" t="s">
        <v>77</v>
      </c>
      <c r="L28" s="563">
        <v>0</v>
      </c>
      <c r="M28" s="564"/>
      <c r="N28" s="266" t="s">
        <v>193</v>
      </c>
      <c r="O28" s="18">
        <v>0</v>
      </c>
      <c r="P28" s="198"/>
      <c r="Q28" s="20"/>
      <c r="R28" s="26">
        <v>0</v>
      </c>
      <c r="S28" s="26"/>
      <c r="T28" s="11"/>
      <c r="U28" s="11"/>
      <c r="V28" s="47"/>
      <c r="X28" s="265" t="s">
        <v>70</v>
      </c>
      <c r="Y28" s="39">
        <v>3</v>
      </c>
      <c r="Z28" s="177">
        <f>G15</f>
        <v>2.2623781251702173</v>
      </c>
      <c r="AA28" s="42">
        <v>3.5</v>
      </c>
      <c r="AC28" s="245"/>
      <c r="AD28" s="242"/>
      <c r="AE28" s="242"/>
      <c r="AF28" s="242"/>
      <c r="AG28" s="242"/>
      <c r="AH28" s="242"/>
      <c r="AI28" s="242"/>
      <c r="AJ28" s="242"/>
      <c r="AK28" s="242"/>
      <c r="AL28" s="242"/>
    </row>
    <row r="29" spans="2:38" ht="12.6" customHeight="1" thickBot="1">
      <c r="B29" s="141">
        <f>B25-0.5</f>
        <v>5.36</v>
      </c>
      <c r="C29" s="449">
        <v>656.6</v>
      </c>
      <c r="D29" s="495"/>
      <c r="E29" s="496"/>
      <c r="F29" s="145">
        <f>B25+0.5</f>
        <v>6.36</v>
      </c>
      <c r="G29" s="449">
        <v>687.1</v>
      </c>
      <c r="H29" s="450"/>
      <c r="I29" s="255"/>
      <c r="J29" s="198"/>
      <c r="K29" s="130" t="s">
        <v>78</v>
      </c>
      <c r="L29" s="565">
        <f>N19-L28</f>
        <v>0</v>
      </c>
      <c r="M29" s="566"/>
      <c r="P29" s="198"/>
      <c r="Q29" s="20"/>
      <c r="R29" s="26">
        <v>0</v>
      </c>
      <c r="S29" s="26"/>
      <c r="T29" s="11"/>
      <c r="U29" s="11"/>
      <c r="V29" s="47"/>
      <c r="X29" s="36">
        <v>10</v>
      </c>
      <c r="Y29" s="40">
        <v>3</v>
      </c>
      <c r="Z29" s="264"/>
      <c r="AA29" s="43">
        <v>2.8</v>
      </c>
      <c r="AC29" s="245"/>
      <c r="AD29" s="242"/>
      <c r="AE29" s="242"/>
      <c r="AF29" s="242"/>
      <c r="AG29" s="242"/>
      <c r="AH29" s="242"/>
      <c r="AI29" s="242"/>
      <c r="AJ29" s="242"/>
      <c r="AK29" s="242"/>
      <c r="AL29" s="242"/>
    </row>
    <row r="30" spans="2:38" ht="12.6" customHeight="1" thickBot="1">
      <c r="B30" s="142">
        <f>B26-0.5</f>
        <v>5.3510391361185246</v>
      </c>
      <c r="C30" s="445">
        <f>C28+(C29-C28)*I26</f>
        <v>656.33117408355565</v>
      </c>
      <c r="D30" s="497"/>
      <c r="E30" s="498"/>
      <c r="F30" s="143">
        <f>B26+0.5</f>
        <v>6.3510391361185246</v>
      </c>
      <c r="G30" s="445">
        <f>G28+(G29-G28)*I26</f>
        <v>686.74156544474101</v>
      </c>
      <c r="H30" s="446"/>
      <c r="I30" s="255"/>
      <c r="J30" s="198"/>
      <c r="K30" s="256"/>
      <c r="L30" s="256"/>
      <c r="P30" s="198"/>
      <c r="Q30" s="22"/>
      <c r="R30" s="27">
        <v>0</v>
      </c>
      <c r="S30" s="27"/>
      <c r="T30" s="28"/>
      <c r="U30" s="28"/>
      <c r="V30" s="214"/>
      <c r="X30" s="37">
        <v>12</v>
      </c>
      <c r="Y30" s="176">
        <f>Y36</f>
        <v>3.16</v>
      </c>
      <c r="Z30" s="254">
        <f>AA35</f>
        <v>3.8091072498502094</v>
      </c>
      <c r="AA30" s="178">
        <f>Z35</f>
        <v>2.7199999999999998</v>
      </c>
      <c r="AC30" s="245"/>
      <c r="AD30" s="244"/>
      <c r="AE30" s="242"/>
      <c r="AF30" s="242"/>
      <c r="AG30" s="242"/>
      <c r="AH30" s="242"/>
      <c r="AI30" s="242"/>
      <c r="AJ30" s="242"/>
      <c r="AK30" s="242"/>
      <c r="AL30" s="242"/>
    </row>
    <row r="31" spans="2:38" ht="12.6" customHeight="1" thickBot="1">
      <c r="B31" s="255"/>
      <c r="C31" s="405" t="s">
        <v>79</v>
      </c>
      <c r="D31" s="406"/>
      <c r="E31" s="398"/>
      <c r="F31" s="447">
        <f>G30-C30</f>
        <v>30.410391361185361</v>
      </c>
      <c r="G31" s="448"/>
      <c r="H31" s="120"/>
      <c r="I31" s="120"/>
      <c r="J31" s="198"/>
      <c r="P31" s="198"/>
      <c r="Q31" s="528"/>
      <c r="R31" s="529"/>
      <c r="S31" s="530"/>
      <c r="T31" s="29">
        <f>SUM(T4:T30)</f>
        <v>16606.322</v>
      </c>
      <c r="U31" s="32"/>
      <c r="V31" s="215">
        <f>SUM(V4:V30)</f>
        <v>16606.322</v>
      </c>
      <c r="X31" s="38">
        <v>15</v>
      </c>
      <c r="Y31" s="41">
        <v>3.4</v>
      </c>
      <c r="Z31" s="253"/>
      <c r="AA31" s="44">
        <v>2.6</v>
      </c>
      <c r="AC31" s="245"/>
      <c r="AD31" s="242"/>
      <c r="AE31" s="242"/>
      <c r="AF31" s="242"/>
      <c r="AG31" s="242"/>
      <c r="AH31" s="242"/>
      <c r="AI31" s="242"/>
      <c r="AJ31" s="242"/>
      <c r="AK31" s="242"/>
      <c r="AL31" s="242"/>
    </row>
    <row r="32" spans="2:38" ht="12" customHeight="1">
      <c r="B32" s="120"/>
      <c r="C32" s="120"/>
      <c r="D32" s="120"/>
      <c r="E32" s="120"/>
      <c r="F32" s="120"/>
      <c r="G32" s="120"/>
      <c r="H32" s="120"/>
      <c r="I32" s="257"/>
      <c r="J32" s="198"/>
      <c r="P32" s="246"/>
      <c r="Q32" s="1"/>
      <c r="R32" s="1"/>
      <c r="S32" s="1"/>
      <c r="T32" s="1"/>
      <c r="U32" s="1"/>
      <c r="V32" s="1"/>
      <c r="AC32" s="245"/>
      <c r="AD32" s="242"/>
      <c r="AE32" s="242"/>
      <c r="AF32" s="242"/>
      <c r="AG32" s="242"/>
      <c r="AH32" s="242"/>
      <c r="AI32" s="242"/>
      <c r="AJ32" s="242"/>
      <c r="AK32" s="242"/>
      <c r="AL32" s="242"/>
    </row>
    <row r="33" spans="2:38" ht="12" hidden="1" customHeight="1">
      <c r="I33" s="120"/>
      <c r="J33" s="198"/>
      <c r="P33" s="246"/>
      <c r="Q33" s="1"/>
      <c r="R33" s="1"/>
      <c r="S33" s="1"/>
      <c r="T33" s="1"/>
      <c r="U33" s="1"/>
      <c r="V33" s="1"/>
      <c r="Y33" s="251">
        <f>X31-X29</f>
        <v>5</v>
      </c>
      <c r="AA33" s="251">
        <f>Z28-Y28</f>
        <v>-0.7376218748297827</v>
      </c>
      <c r="AB33" s="247"/>
      <c r="AC33" s="245"/>
      <c r="AD33" s="242"/>
      <c r="AE33" s="242"/>
      <c r="AF33" s="242"/>
      <c r="AG33" s="242"/>
      <c r="AH33" s="242"/>
      <c r="AI33" s="242"/>
      <c r="AJ33" s="242"/>
      <c r="AK33" s="242"/>
      <c r="AL33" s="242"/>
    </row>
    <row r="34" spans="2:38" ht="12" hidden="1" customHeight="1">
      <c r="B34" s="258"/>
      <c r="C34" s="258"/>
      <c r="D34" s="258"/>
      <c r="E34" s="258"/>
      <c r="F34" s="258"/>
      <c r="I34" s="120"/>
      <c r="J34" s="198"/>
      <c r="P34" s="246"/>
      <c r="Q34" s="23"/>
      <c r="R34" s="23"/>
      <c r="S34" s="23"/>
      <c r="T34" s="23"/>
      <c r="U34" s="33">
        <f>AA28-Y28</f>
        <v>0.5</v>
      </c>
      <c r="V34" s="53"/>
      <c r="W34" s="247"/>
      <c r="Y34" s="251">
        <f>X30-X29</f>
        <v>2</v>
      </c>
      <c r="AA34" s="246">
        <f>AA33/U34</f>
        <v>-1.4752437496595654</v>
      </c>
      <c r="AB34" s="247"/>
      <c r="AC34" s="245"/>
      <c r="AD34" s="242"/>
      <c r="AE34" s="242"/>
      <c r="AF34" s="242"/>
      <c r="AG34" s="242"/>
      <c r="AH34" s="242"/>
      <c r="AI34" s="242"/>
      <c r="AJ34" s="242"/>
      <c r="AK34" s="242"/>
      <c r="AL34" s="242"/>
    </row>
    <row r="35" spans="2:38" ht="12" hidden="1" customHeight="1">
      <c r="B35" s="259" t="s">
        <v>80</v>
      </c>
      <c r="C35" s="259">
        <f>B11</f>
        <v>5.87</v>
      </c>
      <c r="D35" s="259">
        <f>F11</f>
        <v>0</v>
      </c>
      <c r="E35" s="259"/>
      <c r="F35" s="259">
        <f>C35-D35</f>
        <v>5.87</v>
      </c>
      <c r="I35" s="120"/>
      <c r="J35" s="198"/>
      <c r="K35" s="120"/>
      <c r="L35" s="260"/>
      <c r="M35" s="260"/>
      <c r="N35" s="261"/>
      <c r="O35" s="262"/>
      <c r="P35" s="246"/>
      <c r="Q35" s="24"/>
      <c r="R35" s="24"/>
      <c r="S35" s="24"/>
      <c r="T35" s="24"/>
      <c r="U35" s="1"/>
      <c r="V35" s="30"/>
      <c r="W35" s="252"/>
      <c r="X35" s="247"/>
      <c r="Y35" s="246">
        <f>Y34/Y33</f>
        <v>0.4</v>
      </c>
      <c r="Z35">
        <f>(AA31-AA29)*Y35+AA29</f>
        <v>2.7199999999999998</v>
      </c>
      <c r="AA35" s="246">
        <f>(AA30-Y30)*AA34+Y30</f>
        <v>3.8091072498502094</v>
      </c>
      <c r="AB35" s="247"/>
      <c r="AC35" s="245"/>
      <c r="AD35" s="242"/>
      <c r="AE35" s="242"/>
      <c r="AF35" s="242"/>
      <c r="AG35" s="242"/>
      <c r="AH35" s="242"/>
      <c r="AI35" s="242"/>
      <c r="AJ35" s="242"/>
      <c r="AK35" s="242"/>
      <c r="AL35" s="242"/>
    </row>
    <row r="36" spans="2:38" ht="12" hidden="1" customHeight="1">
      <c r="B36" s="258" t="s">
        <v>81</v>
      </c>
      <c r="C36" s="259">
        <f>C11</f>
        <v>5.81</v>
      </c>
      <c r="D36" s="259">
        <f>F11</f>
        <v>0</v>
      </c>
      <c r="E36" s="259"/>
      <c r="F36" s="259">
        <f>C36-D36</f>
        <v>5.81</v>
      </c>
      <c r="I36" s="120"/>
      <c r="J36" s="198"/>
      <c r="K36" s="531"/>
      <c r="L36" s="531"/>
      <c r="M36" s="531"/>
      <c r="N36" s="531"/>
      <c r="O36" s="531"/>
      <c r="P36" s="246"/>
      <c r="Q36" s="24"/>
      <c r="R36" s="24"/>
      <c r="S36" s="541"/>
      <c r="T36" s="541"/>
      <c r="U36" s="1"/>
      <c r="V36" s="30"/>
      <c r="W36" s="252"/>
      <c r="Y36" s="246">
        <f>(Y31-Y29)*Y35+Y29</f>
        <v>3.16</v>
      </c>
      <c r="Z36" s="246"/>
      <c r="AA36" s="246"/>
      <c r="AB36" s="247"/>
      <c r="AC36" s="245"/>
      <c r="AD36" s="242"/>
      <c r="AE36" s="242"/>
      <c r="AF36" s="242"/>
      <c r="AG36" s="242"/>
      <c r="AH36" s="242"/>
      <c r="AI36" s="242"/>
      <c r="AJ36" s="242"/>
      <c r="AK36" s="242"/>
      <c r="AL36" s="242"/>
    </row>
    <row r="37" spans="2:38" ht="12" customHeight="1">
      <c r="B37" s="244"/>
      <c r="C37" s="244"/>
      <c r="D37" s="244"/>
      <c r="E37" s="244"/>
      <c r="F37" s="244"/>
      <c r="G37" s="242"/>
      <c r="H37" s="242"/>
      <c r="I37" s="243"/>
      <c r="J37" s="243"/>
      <c r="K37" s="242"/>
      <c r="L37" s="242"/>
      <c r="M37" s="242"/>
      <c r="N37" s="242"/>
      <c r="O37" s="242"/>
      <c r="P37" s="244"/>
      <c r="Q37" s="54"/>
      <c r="R37" s="54"/>
      <c r="S37" s="524"/>
      <c r="T37" s="524"/>
      <c r="U37" s="55"/>
      <c r="V37" s="55"/>
      <c r="W37" s="242"/>
      <c r="X37" s="242"/>
      <c r="Y37" s="242"/>
      <c r="Z37" s="242"/>
      <c r="AA37" s="245"/>
      <c r="AB37" s="245"/>
      <c r="AC37" s="245"/>
      <c r="AD37" s="242"/>
      <c r="AE37" s="242"/>
      <c r="AF37" s="242"/>
      <c r="AG37" s="242"/>
      <c r="AH37" s="242"/>
      <c r="AI37" s="242"/>
      <c r="AJ37" s="242"/>
      <c r="AK37" s="242"/>
      <c r="AL37" s="242"/>
    </row>
    <row r="38" spans="2:38" ht="12" customHeight="1">
      <c r="B38" s="244"/>
      <c r="C38" s="244"/>
      <c r="D38" s="263"/>
      <c r="E38" s="263"/>
      <c r="F38" s="244"/>
      <c r="G38" s="242"/>
      <c r="H38" s="242"/>
      <c r="I38" s="243"/>
      <c r="J38" s="243"/>
      <c r="K38" s="242"/>
      <c r="L38" s="242"/>
      <c r="M38" s="242"/>
      <c r="N38" s="242"/>
      <c r="O38" s="242"/>
      <c r="P38" s="244"/>
      <c r="Q38" s="54"/>
      <c r="R38" s="54"/>
      <c r="S38" s="54"/>
      <c r="T38" s="55"/>
      <c r="U38" s="55"/>
      <c r="V38" s="55"/>
      <c r="W38" s="242"/>
      <c r="X38" s="242"/>
      <c r="Y38" s="242"/>
      <c r="Z38" s="242"/>
      <c r="AA38" s="245"/>
      <c r="AB38" s="245"/>
      <c r="AC38" s="245"/>
      <c r="AD38" s="242"/>
      <c r="AE38" s="242"/>
      <c r="AF38" s="242"/>
      <c r="AG38" s="242"/>
      <c r="AH38" s="242"/>
      <c r="AI38" s="242"/>
      <c r="AJ38" s="242"/>
      <c r="AK38" s="242"/>
      <c r="AL38" s="242"/>
    </row>
    <row r="39" spans="2:38" ht="12" customHeight="1">
      <c r="B39" s="242"/>
      <c r="C39" s="242"/>
      <c r="D39" s="242"/>
      <c r="E39" s="242"/>
      <c r="F39" s="242"/>
      <c r="G39" s="242"/>
      <c r="H39" s="242"/>
      <c r="I39" s="243"/>
      <c r="J39" s="243"/>
      <c r="K39" s="242"/>
      <c r="L39" s="242"/>
      <c r="M39" s="242"/>
      <c r="N39" s="242"/>
      <c r="O39" s="242"/>
      <c r="P39" s="244"/>
      <c r="Q39" s="55"/>
      <c r="R39" s="55"/>
      <c r="S39" s="55"/>
      <c r="T39" s="55"/>
      <c r="U39" s="55"/>
      <c r="V39" s="55"/>
      <c r="W39" s="242"/>
      <c r="X39" s="242"/>
      <c r="Y39" s="242"/>
      <c r="Z39" s="242"/>
      <c r="AA39" s="245"/>
      <c r="AB39" s="245"/>
      <c r="AC39" s="245"/>
      <c r="AD39" s="242"/>
      <c r="AE39" s="242"/>
      <c r="AF39" s="242"/>
      <c r="AG39" s="242"/>
      <c r="AH39" s="242"/>
      <c r="AI39" s="242"/>
      <c r="AJ39" s="242"/>
      <c r="AK39" s="242"/>
      <c r="AL39" s="242"/>
    </row>
    <row r="40" spans="2:38" ht="12" customHeight="1">
      <c r="B40" s="242"/>
      <c r="C40" s="242"/>
      <c r="D40" s="242"/>
      <c r="E40" s="242"/>
      <c r="F40" s="242"/>
      <c r="G40" s="242"/>
      <c r="H40" s="242"/>
      <c r="I40" s="243"/>
      <c r="J40" s="243"/>
      <c r="K40" s="242"/>
      <c r="L40" s="242"/>
      <c r="M40" s="242"/>
      <c r="N40" s="242"/>
      <c r="O40" s="242"/>
      <c r="P40" s="244"/>
      <c r="Q40" s="55"/>
      <c r="R40" s="55"/>
      <c r="S40" s="55"/>
      <c r="T40" s="55"/>
      <c r="U40" s="55"/>
      <c r="V40" s="55"/>
      <c r="W40" s="242"/>
      <c r="X40" s="242"/>
      <c r="Y40" s="242"/>
      <c r="Z40" s="242"/>
      <c r="AA40" s="245"/>
      <c r="AB40" s="245"/>
      <c r="AC40" s="245"/>
      <c r="AD40" s="242"/>
      <c r="AE40" s="242"/>
      <c r="AF40" s="242"/>
      <c r="AG40" s="242"/>
      <c r="AH40" s="242"/>
      <c r="AI40" s="242"/>
      <c r="AJ40" s="242"/>
      <c r="AK40" s="242"/>
      <c r="AL40" s="242"/>
    </row>
    <row r="41" spans="2:38" ht="12" customHeight="1">
      <c r="B41" s="242"/>
      <c r="C41" s="242"/>
      <c r="D41" s="242"/>
      <c r="E41" s="242"/>
      <c r="F41" s="242"/>
      <c r="G41" s="242"/>
      <c r="H41" s="242"/>
      <c r="I41" s="243"/>
      <c r="J41" s="243"/>
      <c r="K41" s="242"/>
      <c r="L41" s="242"/>
      <c r="M41" s="242"/>
      <c r="N41" s="242"/>
      <c r="O41" s="242"/>
      <c r="P41" s="244"/>
      <c r="Q41" s="55"/>
      <c r="R41" s="55"/>
      <c r="S41" s="55"/>
      <c r="T41" s="55"/>
      <c r="U41" s="55"/>
      <c r="V41" s="55"/>
      <c r="W41" s="242"/>
      <c r="X41" s="242"/>
      <c r="Y41" s="242"/>
      <c r="Z41" s="242"/>
      <c r="AA41" s="245"/>
      <c r="AB41" s="245"/>
      <c r="AC41" s="245"/>
      <c r="AD41" s="242"/>
      <c r="AE41" s="242"/>
      <c r="AF41" s="242"/>
      <c r="AG41" s="242"/>
      <c r="AH41" s="242"/>
      <c r="AI41" s="242"/>
      <c r="AJ41" s="242"/>
      <c r="AK41" s="242"/>
      <c r="AL41" s="242"/>
    </row>
    <row r="42" spans="2:38" ht="12" customHeight="1">
      <c r="B42" s="242"/>
      <c r="C42" s="242"/>
      <c r="D42" s="242"/>
      <c r="E42" s="242"/>
      <c r="F42" s="242"/>
      <c r="G42" s="242"/>
      <c r="H42" s="242"/>
      <c r="I42" s="243"/>
      <c r="J42" s="243"/>
      <c r="K42" s="243"/>
      <c r="L42" s="243"/>
      <c r="M42" s="243"/>
      <c r="N42" s="243"/>
      <c r="O42" s="242"/>
      <c r="P42" s="244"/>
      <c r="Q42" s="55"/>
      <c r="R42" s="55"/>
      <c r="S42" s="55"/>
      <c r="T42" s="55"/>
      <c r="U42" s="54"/>
      <c r="V42" s="56"/>
      <c r="W42" s="245"/>
      <c r="X42" s="245"/>
      <c r="Y42" s="245"/>
      <c r="Z42" s="245"/>
      <c r="AA42" s="245"/>
      <c r="AB42" s="245"/>
      <c r="AC42" s="245"/>
      <c r="AD42" s="242"/>
    </row>
    <row r="43" spans="2:38" ht="12" customHeight="1">
      <c r="B43" s="242"/>
      <c r="C43" s="242"/>
      <c r="D43" s="242"/>
      <c r="E43" s="242"/>
      <c r="F43" s="242"/>
      <c r="G43" s="242"/>
      <c r="H43" s="242"/>
      <c r="I43" s="243"/>
      <c r="J43" s="243"/>
      <c r="K43" s="243"/>
      <c r="L43" s="243"/>
      <c r="M43" s="243"/>
      <c r="N43" s="243"/>
      <c r="O43" s="243"/>
      <c r="P43" s="244"/>
      <c r="Q43" s="244"/>
      <c r="R43" s="244"/>
      <c r="S43" s="244"/>
      <c r="T43" s="244"/>
      <c r="U43" s="244"/>
      <c r="V43" s="245"/>
      <c r="W43" s="245"/>
      <c r="X43" s="245"/>
      <c r="Y43" s="245"/>
      <c r="Z43" s="245"/>
      <c r="AA43" s="245"/>
      <c r="AB43" s="245"/>
      <c r="AC43" s="245"/>
      <c r="AD43" s="242"/>
    </row>
    <row r="44" spans="2:38" ht="12" customHeight="1">
      <c r="B44" s="242"/>
      <c r="C44" s="242"/>
      <c r="D44" s="242"/>
      <c r="E44" s="242"/>
      <c r="F44" s="242"/>
      <c r="G44" s="242"/>
      <c r="H44" s="242"/>
      <c r="I44" s="243"/>
      <c r="J44" s="243"/>
      <c r="K44" s="243"/>
      <c r="L44" s="243"/>
      <c r="M44" s="243"/>
      <c r="N44" s="243"/>
      <c r="O44" s="243"/>
      <c r="P44" s="244"/>
      <c r="Q44" s="244"/>
      <c r="R44" s="244"/>
      <c r="S44" s="244"/>
      <c r="T44" s="244"/>
      <c r="U44" s="244"/>
      <c r="V44" s="245"/>
      <c r="W44" s="245"/>
      <c r="X44" s="245"/>
      <c r="Y44" s="245"/>
      <c r="Z44" s="245"/>
      <c r="AA44" s="245"/>
      <c r="AB44" s="245"/>
      <c r="AC44" s="245"/>
      <c r="AD44" s="242"/>
    </row>
    <row r="45" spans="2:38" ht="12" customHeight="1">
      <c r="B45" s="242"/>
      <c r="C45" s="242"/>
      <c r="D45" s="242"/>
      <c r="E45" s="242"/>
      <c r="F45" s="242"/>
      <c r="G45" s="242"/>
      <c r="H45" s="242"/>
      <c r="I45" s="243"/>
      <c r="J45" s="243"/>
      <c r="K45" s="525"/>
      <c r="L45" s="525"/>
      <c r="M45" s="525"/>
      <c r="N45" s="525"/>
      <c r="O45" s="525"/>
      <c r="P45" s="244"/>
      <c r="Q45" s="244"/>
      <c r="R45" s="244"/>
      <c r="S45" s="244"/>
      <c r="T45" s="244"/>
      <c r="U45" s="244"/>
      <c r="V45" s="242"/>
      <c r="W45" s="242"/>
      <c r="X45" s="242"/>
      <c r="Y45" s="242"/>
      <c r="Z45" s="242"/>
      <c r="AA45" s="245"/>
      <c r="AB45" s="245"/>
      <c r="AC45" s="245"/>
      <c r="AD45" s="242"/>
    </row>
    <row r="46" spans="2:38" ht="12" customHeight="1">
      <c r="B46" s="242"/>
      <c r="C46" s="242"/>
      <c r="D46" s="242"/>
      <c r="E46" s="242"/>
      <c r="F46" s="242"/>
      <c r="G46" s="242"/>
      <c r="H46" s="242"/>
      <c r="I46" s="243"/>
      <c r="J46" s="243"/>
      <c r="K46" s="242"/>
      <c r="L46" s="242"/>
      <c r="M46" s="242"/>
      <c r="N46" s="242"/>
      <c r="O46" s="242"/>
      <c r="P46" s="244"/>
      <c r="Q46" s="244"/>
      <c r="R46" s="244"/>
      <c r="S46" s="244"/>
      <c r="T46" s="244"/>
      <c r="U46" s="244"/>
      <c r="V46" s="242"/>
      <c r="W46" s="242"/>
      <c r="X46" s="242"/>
      <c r="Y46" s="242"/>
      <c r="Z46" s="242"/>
      <c r="AA46" s="245"/>
      <c r="AB46" s="245"/>
      <c r="AC46" s="245"/>
      <c r="AD46" s="242"/>
    </row>
    <row r="47" spans="2:38" ht="12" customHeight="1">
      <c r="B47" s="242"/>
      <c r="C47" s="242"/>
      <c r="D47" s="242"/>
      <c r="E47" s="242"/>
      <c r="F47" s="242"/>
      <c r="G47" s="242"/>
      <c r="H47" s="242"/>
      <c r="I47" s="243"/>
      <c r="J47" s="243"/>
      <c r="K47" s="242"/>
      <c r="L47" s="242"/>
      <c r="M47" s="242"/>
      <c r="N47" s="242"/>
      <c r="O47" s="242"/>
      <c r="P47" s="244"/>
      <c r="Q47" s="244"/>
      <c r="R47" s="244"/>
      <c r="S47" s="244"/>
      <c r="T47" s="244"/>
      <c r="U47" s="245"/>
      <c r="V47" s="242"/>
      <c r="W47" s="242"/>
      <c r="X47" s="242"/>
      <c r="Y47" s="242"/>
      <c r="Z47" s="242"/>
      <c r="AA47" s="245"/>
      <c r="AB47" s="245"/>
      <c r="AC47" s="245"/>
      <c r="AD47" s="242"/>
    </row>
    <row r="48" spans="2:38" ht="12" customHeight="1">
      <c r="B48" s="242"/>
      <c r="C48" s="242"/>
      <c r="D48" s="242"/>
      <c r="E48" s="242"/>
      <c r="F48" s="242"/>
      <c r="G48" s="242"/>
      <c r="H48" s="242"/>
      <c r="I48" s="243"/>
      <c r="J48" s="243"/>
      <c r="K48" s="242"/>
      <c r="L48" s="242"/>
      <c r="M48" s="242"/>
      <c r="N48" s="242"/>
      <c r="O48" s="242"/>
      <c r="P48" s="244"/>
      <c r="Q48" s="244"/>
      <c r="R48" s="244"/>
      <c r="S48" s="244"/>
      <c r="T48" s="244"/>
      <c r="U48" s="244"/>
      <c r="V48" s="242"/>
      <c r="W48" s="242"/>
      <c r="X48" s="242"/>
      <c r="Y48" s="242"/>
      <c r="Z48" s="242"/>
      <c r="AA48" s="245"/>
      <c r="AB48" s="245"/>
      <c r="AC48" s="245"/>
      <c r="AD48" s="242"/>
    </row>
    <row r="49" spans="2:30" ht="12" customHeight="1">
      <c r="B49" s="242"/>
      <c r="C49" s="242"/>
      <c r="D49" s="242"/>
      <c r="E49" s="242"/>
      <c r="F49" s="242"/>
      <c r="G49" s="242"/>
      <c r="H49" s="242"/>
      <c r="I49" s="243"/>
      <c r="J49" s="243"/>
      <c r="K49" s="242"/>
      <c r="L49" s="242"/>
      <c r="M49" s="242"/>
      <c r="N49" s="242"/>
      <c r="O49" s="242"/>
      <c r="P49" s="244"/>
      <c r="Q49" s="244"/>
      <c r="R49" s="244"/>
      <c r="S49" s="244"/>
      <c r="T49" s="244"/>
      <c r="U49" s="244"/>
      <c r="V49" s="242"/>
      <c r="W49" s="242"/>
      <c r="X49" s="242"/>
      <c r="Y49" s="242"/>
      <c r="Z49" s="242"/>
      <c r="AA49" s="245"/>
      <c r="AB49" s="245"/>
      <c r="AC49" s="245"/>
      <c r="AD49" s="242"/>
    </row>
    <row r="50" spans="2:30" ht="12" customHeight="1">
      <c r="I50" s="120"/>
      <c r="J50" s="198"/>
      <c r="P50" s="246"/>
      <c r="Q50" s="246"/>
      <c r="R50" s="246"/>
      <c r="S50" s="246"/>
      <c r="T50" s="246"/>
      <c r="U50" s="246"/>
      <c r="AA50" s="247"/>
      <c r="AB50" s="247"/>
      <c r="AC50" s="247"/>
    </row>
    <row r="51" spans="2:30" ht="12" customHeight="1">
      <c r="I51" s="120"/>
      <c r="J51" s="198"/>
      <c r="P51" s="246"/>
      <c r="Q51" s="246"/>
      <c r="R51" s="246"/>
      <c r="S51" s="246"/>
      <c r="T51" s="246"/>
      <c r="U51" s="246"/>
      <c r="AA51" s="247"/>
      <c r="AB51" s="247"/>
      <c r="AC51" s="247"/>
    </row>
    <row r="52" spans="2:30" ht="12" customHeight="1">
      <c r="I52" s="120"/>
      <c r="J52" s="198"/>
      <c r="P52" s="246"/>
      <c r="Q52" s="246"/>
      <c r="R52" s="246"/>
      <c r="S52" s="246"/>
      <c r="T52" s="246"/>
      <c r="U52" s="246"/>
      <c r="AA52" s="247"/>
      <c r="AB52" s="247"/>
      <c r="AC52" s="247"/>
    </row>
    <row r="53" spans="2:30" ht="12" customHeight="1">
      <c r="I53" s="198"/>
      <c r="J53" s="198"/>
      <c r="P53" s="246"/>
      <c r="Q53" s="246"/>
      <c r="R53" s="246"/>
      <c r="S53" s="246"/>
      <c r="T53" s="246"/>
      <c r="U53" s="246"/>
      <c r="AA53" s="247"/>
      <c r="AB53" s="247"/>
      <c r="AC53" s="247"/>
    </row>
    <row r="54" spans="2:30" ht="12" customHeight="1">
      <c r="I54" s="198"/>
      <c r="J54" s="198"/>
      <c r="P54" s="246"/>
      <c r="Q54" s="246"/>
      <c r="R54" s="246"/>
      <c r="S54" s="246"/>
      <c r="T54" s="246"/>
      <c r="U54" s="246"/>
      <c r="AA54" s="247"/>
      <c r="AB54" s="247"/>
      <c r="AC54" s="247"/>
    </row>
    <row r="55" spans="2:30" ht="12" customHeight="1">
      <c r="I55" s="198"/>
      <c r="J55" s="198"/>
      <c r="P55" s="246"/>
      <c r="Q55" s="246"/>
      <c r="R55" s="246"/>
      <c r="S55" s="246"/>
      <c r="T55" s="246"/>
      <c r="U55" s="246"/>
      <c r="AA55" s="247"/>
      <c r="AB55" s="247"/>
      <c r="AC55" s="247"/>
    </row>
    <row r="56" spans="2:30" ht="12" customHeight="1">
      <c r="I56" s="246"/>
      <c r="J56" s="246"/>
      <c r="P56" s="246"/>
      <c r="Q56" s="246"/>
      <c r="R56" s="246"/>
      <c r="S56" s="246"/>
      <c r="T56" s="246"/>
      <c r="U56" s="246"/>
      <c r="AA56" s="247"/>
      <c r="AB56" s="247"/>
      <c r="AC56" s="247"/>
    </row>
    <row r="57" spans="2:30" ht="12" customHeight="1"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</row>
    <row r="58" spans="2:30"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</row>
    <row r="59" spans="2:30">
      <c r="B59" s="248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</row>
    <row r="60" spans="2:30">
      <c r="B60" s="249"/>
      <c r="C60" s="247"/>
      <c r="D60" s="250"/>
      <c r="E60" s="250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7"/>
    </row>
    <row r="61" spans="2:30"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</row>
    <row r="62" spans="2:30"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  <c r="AA62" s="247"/>
      <c r="AB62" s="247"/>
      <c r="AC62" s="247"/>
    </row>
    <row r="63" spans="2:30"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  <c r="AA63" s="247"/>
      <c r="AB63" s="247"/>
      <c r="AC63" s="247"/>
    </row>
    <row r="64" spans="2:30"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47"/>
      <c r="AC64" s="247"/>
    </row>
    <row r="65" spans="2:29"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</row>
    <row r="66" spans="2:29"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</row>
    <row r="67" spans="2:29"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</row>
    <row r="68" spans="2:29"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</row>
    <row r="69" spans="2:29"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</row>
    <row r="70" spans="2:29"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</row>
    <row r="71" spans="2:29"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247"/>
      <c r="AB71" s="247"/>
      <c r="AC71" s="247"/>
    </row>
    <row r="72" spans="2:29"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</row>
    <row r="73" spans="2:29"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</row>
    <row r="74" spans="2:29"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A74" s="247"/>
      <c r="AB74" s="247"/>
      <c r="AC74" s="247"/>
    </row>
    <row r="75" spans="2:29"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  <c r="AA75" s="247"/>
      <c r="AB75" s="247"/>
      <c r="AC75" s="247"/>
    </row>
    <row r="76" spans="2:29">
      <c r="B76" s="247"/>
      <c r="C76" s="247"/>
      <c r="D76" s="247"/>
      <c r="E76" s="247"/>
      <c r="F76" s="247"/>
      <c r="G76" s="247"/>
      <c r="H76" s="247"/>
      <c r="K76" s="247"/>
      <c r="L76" s="247"/>
      <c r="M76" s="247"/>
      <c r="N76" s="247"/>
      <c r="O76" s="247"/>
    </row>
    <row r="77" spans="2:29">
      <c r="B77" s="247"/>
      <c r="C77" s="247"/>
      <c r="D77" s="247"/>
      <c r="E77" s="247"/>
      <c r="F77" s="247"/>
      <c r="G77" s="247"/>
      <c r="H77" s="247"/>
      <c r="K77" s="247"/>
      <c r="L77" s="247"/>
      <c r="M77" s="247"/>
      <c r="N77" s="247"/>
      <c r="O77" s="247"/>
    </row>
    <row r="78" spans="2:29">
      <c r="B78" s="247"/>
      <c r="C78" s="247"/>
      <c r="D78" s="247"/>
      <c r="E78" s="247"/>
      <c r="F78" s="247"/>
      <c r="G78" s="247"/>
      <c r="H78" s="247"/>
      <c r="K78" s="247"/>
      <c r="L78" s="247"/>
      <c r="M78" s="247"/>
      <c r="N78" s="247"/>
      <c r="O78" s="247"/>
    </row>
  </sheetData>
  <sheetProtection algorithmName="SHA-512" hashValue="JRaMGY1kl6JOzl4Emu04nMij2gZE/vvhz8nLUhgxFz5nIBdB8uZOgUeK6wldL/T70xXlBXssoA23thPQEogrSw==" saltValue="NRgTvedg/WqtXZNWkVCfmQ==" spinCount="100000" sheet="1" objects="1" scenarios="1" formatCells="0"/>
  <mergeCells count="81">
    <mergeCell ref="Y27:AA27"/>
    <mergeCell ref="D12:E12"/>
    <mergeCell ref="D11:E11"/>
    <mergeCell ref="D10:E10"/>
    <mergeCell ref="C28:E28"/>
    <mergeCell ref="Y25:Z25"/>
    <mergeCell ref="AA21:AB21"/>
    <mergeCell ref="F11:G11"/>
    <mergeCell ref="AA19:AB19"/>
    <mergeCell ref="X21:Z21"/>
    <mergeCell ref="C29:E29"/>
    <mergeCell ref="C30:E30"/>
    <mergeCell ref="C31:E31"/>
    <mergeCell ref="N11:O11"/>
    <mergeCell ref="L28:M28"/>
    <mergeCell ref="L29:M29"/>
    <mergeCell ref="K27:M27"/>
    <mergeCell ref="C23:E23"/>
    <mergeCell ref="C24:E24"/>
    <mergeCell ref="C25:E25"/>
    <mergeCell ref="C26:E26"/>
    <mergeCell ref="C27:E27"/>
    <mergeCell ref="F31:G31"/>
    <mergeCell ref="G28:H28"/>
    <mergeCell ref="G20:H20"/>
    <mergeCell ref="G29:H29"/>
    <mergeCell ref="B8:C8"/>
    <mergeCell ref="C3:E3"/>
    <mergeCell ref="C4:E4"/>
    <mergeCell ref="C5:E5"/>
    <mergeCell ref="C7:E7"/>
    <mergeCell ref="C6:E6"/>
    <mergeCell ref="G30:H30"/>
    <mergeCell ref="K2:O2"/>
    <mergeCell ref="N4:O4"/>
    <mergeCell ref="N6:O6"/>
    <mergeCell ref="G3:H3"/>
    <mergeCell ref="B2:H2"/>
    <mergeCell ref="G27:H27"/>
    <mergeCell ref="G21:H21"/>
    <mergeCell ref="G23:H23"/>
    <mergeCell ref="N8:O8"/>
    <mergeCell ref="N10:O10"/>
    <mergeCell ref="B16:B18"/>
    <mergeCell ref="B15:C15"/>
    <mergeCell ref="C13:E13"/>
    <mergeCell ref="G4:H4"/>
    <mergeCell ref="D8:D9"/>
    <mergeCell ref="Q2:V2"/>
    <mergeCell ref="F10:G10"/>
    <mergeCell ref="G24:H24"/>
    <mergeCell ref="G26:H26"/>
    <mergeCell ref="G25:H25"/>
    <mergeCell ref="G5:H5"/>
    <mergeCell ref="H8:H9"/>
    <mergeCell ref="G15:H15"/>
    <mergeCell ref="G18:H18"/>
    <mergeCell ref="F13:G13"/>
    <mergeCell ref="F14:G14"/>
    <mergeCell ref="F12:G12"/>
    <mergeCell ref="F8:G9"/>
    <mergeCell ref="S37:T37"/>
    <mergeCell ref="K45:O45"/>
    <mergeCell ref="N13:O13"/>
    <mergeCell ref="Q31:S31"/>
    <mergeCell ref="K36:O36"/>
    <mergeCell ref="K23:M23"/>
    <mergeCell ref="N15:O15"/>
    <mergeCell ref="N16:O16"/>
    <mergeCell ref="N17:O17"/>
    <mergeCell ref="N18:O18"/>
    <mergeCell ref="N19:O19"/>
    <mergeCell ref="S36:T36"/>
    <mergeCell ref="X2:AB2"/>
    <mergeCell ref="AA18:AB18"/>
    <mergeCell ref="AA14:AB14"/>
    <mergeCell ref="AA15:AB15"/>
    <mergeCell ref="AA13:AB13"/>
    <mergeCell ref="AA17:AB17"/>
    <mergeCell ref="X11:AB11"/>
    <mergeCell ref="AA12:AB12"/>
  </mergeCells>
  <phoneticPr fontId="3" type="noConversion"/>
  <pageMargins left="0.25" right="0.25" top="0.75" bottom="0.75" header="0.3" footer="0.3"/>
  <pageSetup paperSize="9" scale="95" orientation="portrait" horizontalDpi="300" verticalDpi="300" r:id="rId1"/>
  <ignoredErrors>
    <ignoredError sqref="U5:U18 C3 AB4 V4:V25 D10:E12 F10:G12 U20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7"/>
  <sheetViews>
    <sheetView showGridLines="0" showRuler="0" zoomScaleNormal="100" workbookViewId="0">
      <selection activeCell="G17" sqref="G17:H17"/>
    </sheetView>
  </sheetViews>
  <sheetFormatPr defaultRowHeight="14.25"/>
  <cols>
    <col min="1" max="1" width="0.86328125" customWidth="1"/>
    <col min="2" max="3" width="9.6640625" customWidth="1"/>
    <col min="4" max="4" width="7.19921875" bestFit="1" customWidth="1"/>
    <col min="5" max="5" width="1.1328125" customWidth="1"/>
    <col min="6" max="6" width="10.46484375" customWidth="1"/>
    <col min="7" max="7" width="6.46484375" customWidth="1"/>
    <col min="8" max="8" width="8.59765625" customWidth="1"/>
    <col min="9" max="9" width="8.53125" hidden="1" customWidth="1"/>
    <col min="10" max="10" width="0.86328125" customWidth="1"/>
    <col min="11" max="11" width="10.53125" customWidth="1"/>
    <col min="12" max="12" width="7.86328125" customWidth="1"/>
    <col min="13" max="13" width="8.19921875" customWidth="1"/>
    <col min="14" max="14" width="0.86328125" customWidth="1"/>
    <col min="15" max="15" width="7.86328125" customWidth="1"/>
    <col min="16" max="16" width="2" customWidth="1"/>
    <col min="17" max="17" width="8.46484375" customWidth="1"/>
    <col min="18" max="18" width="0.86328125" customWidth="1"/>
    <col min="19" max="19" width="7.86328125" bestFit="1" customWidth="1"/>
    <col min="20" max="20" width="4.53125" bestFit="1" customWidth="1"/>
    <col min="21" max="21" width="10.1328125" bestFit="1" customWidth="1"/>
    <col min="22" max="22" width="6.53125" customWidth="1"/>
    <col min="23" max="23" width="9.6640625" bestFit="1" customWidth="1"/>
    <col min="24" max="24" width="0.86328125" customWidth="1"/>
    <col min="25" max="25" width="8.33203125" customWidth="1"/>
    <col min="26" max="26" width="7.796875" customWidth="1"/>
    <col min="27" max="28" width="7.1328125" bestFit="1" customWidth="1"/>
    <col min="29" max="29" width="7.19921875" bestFit="1" customWidth="1"/>
  </cols>
  <sheetData>
    <row r="1" spans="1:35" ht="4.5" customHeight="1" thickBot="1"/>
    <row r="2" spans="1:35" ht="12.6" customHeight="1" thickBot="1">
      <c r="B2" s="405" t="s">
        <v>82</v>
      </c>
      <c r="C2" s="406"/>
      <c r="D2" s="406"/>
      <c r="E2" s="406"/>
      <c r="F2" s="406"/>
      <c r="G2" s="406"/>
      <c r="H2" s="398"/>
      <c r="I2" s="255"/>
      <c r="J2" s="120"/>
      <c r="K2" s="405" t="s">
        <v>1</v>
      </c>
      <c r="L2" s="406"/>
      <c r="M2" s="406"/>
      <c r="N2" s="406"/>
      <c r="O2" s="406"/>
      <c r="P2" s="406"/>
      <c r="Q2" s="398"/>
      <c r="R2" s="198"/>
      <c r="S2" s="405" t="s">
        <v>2</v>
      </c>
      <c r="T2" s="406"/>
      <c r="U2" s="406"/>
      <c r="V2" s="406"/>
      <c r="W2" s="398"/>
      <c r="X2" s="198"/>
      <c r="Y2" s="405" t="s">
        <v>3</v>
      </c>
      <c r="Z2" s="406"/>
      <c r="AA2" s="406"/>
      <c r="AB2" s="406"/>
      <c r="AC2" s="398"/>
      <c r="AD2" s="247"/>
      <c r="AE2" s="247"/>
      <c r="AF2" s="247"/>
    </row>
    <row r="3" spans="1:35" ht="12.6" customHeight="1" thickBot="1">
      <c r="B3" s="101"/>
      <c r="C3" s="102"/>
      <c r="D3" s="102"/>
      <c r="E3" s="102"/>
      <c r="F3" s="102"/>
      <c r="G3" s="102"/>
      <c r="H3" s="103"/>
      <c r="I3" s="120"/>
      <c r="J3" s="120"/>
      <c r="K3" s="101"/>
      <c r="L3" s="102"/>
      <c r="M3" s="102"/>
      <c r="N3" s="102"/>
      <c r="O3" s="102"/>
      <c r="P3" s="102"/>
      <c r="Q3" s="103"/>
      <c r="R3" s="198"/>
      <c r="S3" s="199" t="s">
        <v>5</v>
      </c>
      <c r="T3" s="192" t="s">
        <v>6</v>
      </c>
      <c r="U3" s="192" t="s">
        <v>7</v>
      </c>
      <c r="V3" s="192" t="s">
        <v>8</v>
      </c>
      <c r="W3" s="200" t="s">
        <v>9</v>
      </c>
      <c r="X3" s="198"/>
      <c r="Y3" s="201" t="s">
        <v>5</v>
      </c>
      <c r="Z3" s="202" t="s">
        <v>6</v>
      </c>
      <c r="AA3" s="202" t="s">
        <v>7</v>
      </c>
      <c r="AB3" s="202" t="s">
        <v>8</v>
      </c>
      <c r="AC3" s="203" t="s">
        <v>9</v>
      </c>
      <c r="AG3" s="246"/>
      <c r="AH3" s="246"/>
      <c r="AI3" s="246"/>
    </row>
    <row r="4" spans="1:35" ht="12.6" customHeight="1" thickBot="1">
      <c r="B4" s="104" t="s">
        <v>15</v>
      </c>
      <c r="C4" s="458" t="str">
        <f>Capa!C13</f>
        <v>HG ANTWERP</v>
      </c>
      <c r="D4" s="458"/>
      <c r="E4" s="105"/>
      <c r="F4" s="106"/>
      <c r="G4" s="107" t="s">
        <v>184</v>
      </c>
      <c r="H4" s="108" t="s">
        <v>185</v>
      </c>
      <c r="I4" s="120"/>
      <c r="J4" s="120"/>
      <c r="K4" s="104" t="s">
        <v>83</v>
      </c>
      <c r="L4" s="106"/>
      <c r="M4" s="106"/>
      <c r="N4" s="151"/>
      <c r="O4" s="464">
        <f>G14*F25*G25*100/D18</f>
        <v>14.773652799603328</v>
      </c>
      <c r="P4" s="465"/>
      <c r="Q4" s="466"/>
      <c r="R4" s="198"/>
      <c r="S4" s="725" t="str">
        <f>Inicial!Q4</f>
        <v>FPT</v>
      </c>
      <c r="T4" s="726">
        <v>0</v>
      </c>
      <c r="U4" s="10">
        <v>179.45</v>
      </c>
      <c r="V4" s="10">
        <v>1.0249999999999999</v>
      </c>
      <c r="W4" s="731">
        <f>U4*V4</f>
        <v>183.93624999999997</v>
      </c>
      <c r="Y4" s="160" t="str">
        <f>Inicial!X4</f>
        <v>FW P</v>
      </c>
      <c r="Z4" s="10">
        <v>0</v>
      </c>
      <c r="AA4" s="10">
        <v>115</v>
      </c>
      <c r="AB4" s="328">
        <v>1</v>
      </c>
      <c r="AC4" s="163">
        <f>AA4*AB4</f>
        <v>115</v>
      </c>
      <c r="AG4" s="246"/>
      <c r="AH4" s="246"/>
      <c r="AI4" s="246"/>
    </row>
    <row r="5" spans="1:35" ht="12.6" customHeight="1" thickBot="1">
      <c r="B5" s="104" t="s">
        <v>18</v>
      </c>
      <c r="C5" s="459">
        <v>46064</v>
      </c>
      <c r="D5" s="460"/>
      <c r="E5" s="327"/>
      <c r="F5" s="106" t="s">
        <v>19</v>
      </c>
      <c r="G5" s="179">
        <v>0.72222222222222221</v>
      </c>
      <c r="H5" s="180">
        <v>0.79166666666666663</v>
      </c>
      <c r="I5" s="120"/>
      <c r="J5" s="120"/>
      <c r="K5" s="104"/>
      <c r="L5" s="106"/>
      <c r="M5" s="106"/>
      <c r="N5" s="151"/>
      <c r="O5" s="105"/>
      <c r="P5" s="106"/>
      <c r="Q5" s="109"/>
      <c r="R5" s="198"/>
      <c r="S5" s="58" t="str">
        <f>Inicial!Q5</f>
        <v>1 WBT P</v>
      </c>
      <c r="T5" s="26">
        <v>0</v>
      </c>
      <c r="U5" s="11">
        <v>0</v>
      </c>
      <c r="V5" s="11">
        <f>V4</f>
        <v>1.0249999999999999</v>
      </c>
      <c r="W5" s="732">
        <f t="shared" ref="W5:W14" si="0">U5*V5</f>
        <v>0</v>
      </c>
      <c r="Y5" s="161" t="str">
        <f>Inicial!X5</f>
        <v>FW S</v>
      </c>
      <c r="Z5" s="11">
        <v>0</v>
      </c>
      <c r="AA5" s="11">
        <v>0</v>
      </c>
      <c r="AB5" s="324">
        <v>1</v>
      </c>
      <c r="AC5" s="164">
        <f>AA5*AB5</f>
        <v>0</v>
      </c>
      <c r="AG5" s="246"/>
      <c r="AH5" s="246"/>
      <c r="AI5" s="246"/>
    </row>
    <row r="6" spans="1:35" ht="12.6" customHeight="1" thickBot="1">
      <c r="B6" s="104"/>
      <c r="C6" s="106"/>
      <c r="D6" s="106"/>
      <c r="E6" s="106"/>
      <c r="F6" s="106"/>
      <c r="G6" s="106"/>
      <c r="H6" s="109"/>
      <c r="I6" s="120"/>
      <c r="J6" s="120"/>
      <c r="K6" s="104" t="s">
        <v>20</v>
      </c>
      <c r="L6" s="106"/>
      <c r="M6" s="106"/>
      <c r="N6" s="151"/>
      <c r="O6" s="464">
        <f>G14*G14*F30*50/D18</f>
        <v>2.5859594153188687E-2</v>
      </c>
      <c r="P6" s="465"/>
      <c r="Q6" s="466"/>
      <c r="R6" s="198"/>
      <c r="S6" s="58" t="str">
        <f>Inicial!Q6</f>
        <v>1 WBT S</v>
      </c>
      <c r="T6" s="26">
        <v>0</v>
      </c>
      <c r="U6" s="11">
        <v>0</v>
      </c>
      <c r="V6" s="11">
        <f t="shared" ref="V6:V29" si="1">V5</f>
        <v>1.0249999999999999</v>
      </c>
      <c r="W6" s="732">
        <f t="shared" si="0"/>
        <v>0</v>
      </c>
      <c r="Y6" s="161" t="str">
        <f>Inicial!X6</f>
        <v>DW</v>
      </c>
      <c r="Z6" s="11">
        <v>0</v>
      </c>
      <c r="AA6" s="11">
        <v>0</v>
      </c>
      <c r="AB6" s="324">
        <v>1</v>
      </c>
      <c r="AC6" s="164">
        <f>AA6*AB6</f>
        <v>0</v>
      </c>
      <c r="AG6" s="246"/>
      <c r="AI6" s="198"/>
    </row>
    <row r="7" spans="1:35" ht="12.6" customHeight="1" thickBot="1">
      <c r="A7" s="216"/>
      <c r="B7" s="391" t="s">
        <v>23</v>
      </c>
      <c r="C7" s="461"/>
      <c r="D7" s="461" t="s">
        <v>24</v>
      </c>
      <c r="E7" s="111"/>
      <c r="F7" s="468" t="s">
        <v>25</v>
      </c>
      <c r="G7" s="468"/>
      <c r="H7" s="729" t="s">
        <v>26</v>
      </c>
      <c r="I7" s="302"/>
      <c r="J7" s="120"/>
      <c r="K7" s="104"/>
      <c r="L7" s="106"/>
      <c r="M7" s="106"/>
      <c r="N7" s="151"/>
      <c r="O7" s="106"/>
      <c r="P7" s="106"/>
      <c r="Q7" s="109"/>
      <c r="R7" s="198"/>
      <c r="S7" s="58" t="str">
        <f>Inicial!Q7</f>
        <v>2 WBT P</v>
      </c>
      <c r="T7" s="26">
        <v>0</v>
      </c>
      <c r="U7" s="11">
        <v>0</v>
      </c>
      <c r="V7" s="11">
        <f t="shared" si="1"/>
        <v>1.0249999999999999</v>
      </c>
      <c r="W7" s="732">
        <f t="shared" si="0"/>
        <v>0</v>
      </c>
      <c r="Y7" s="161"/>
      <c r="Z7" s="11"/>
      <c r="AA7" s="11"/>
      <c r="AB7" s="324"/>
      <c r="AC7" s="164"/>
      <c r="AG7" s="246"/>
      <c r="AH7" s="198"/>
      <c r="AI7" s="198"/>
    </row>
    <row r="8" spans="1:35" ht="12.6" customHeight="1" thickBot="1">
      <c r="A8" s="326"/>
      <c r="B8" s="112" t="s">
        <v>28</v>
      </c>
      <c r="C8" s="113" t="s">
        <v>29</v>
      </c>
      <c r="D8" s="467"/>
      <c r="E8" s="113"/>
      <c r="F8" s="469"/>
      <c r="G8" s="469"/>
      <c r="H8" s="730"/>
      <c r="I8" s="302"/>
      <c r="J8" s="120"/>
      <c r="K8" s="104" t="s">
        <v>27</v>
      </c>
      <c r="L8" s="106"/>
      <c r="M8" s="106"/>
      <c r="N8" s="151"/>
      <c r="O8" s="470">
        <f>C25+(O4+O6)</f>
        <v>73933.596211560376</v>
      </c>
      <c r="P8" s="471"/>
      <c r="Q8" s="472"/>
      <c r="R8" s="198"/>
      <c r="S8" s="58" t="str">
        <f>Inicial!Q8</f>
        <v>2 WBT S</v>
      </c>
      <c r="T8" s="26">
        <v>0</v>
      </c>
      <c r="U8" s="11">
        <v>0</v>
      </c>
      <c r="V8" s="11">
        <f t="shared" si="1"/>
        <v>1.0249999999999999</v>
      </c>
      <c r="W8" s="732">
        <f t="shared" si="0"/>
        <v>0</v>
      </c>
      <c r="Y8" s="162"/>
      <c r="Z8" s="35"/>
      <c r="AA8" s="35"/>
      <c r="AB8" s="325"/>
      <c r="AC8" s="165"/>
      <c r="AG8" s="246"/>
      <c r="AH8" s="314"/>
      <c r="AI8" s="314"/>
    </row>
    <row r="9" spans="1:35" ht="12.6" customHeight="1" thickBot="1">
      <c r="A9" s="323"/>
      <c r="B9" s="2">
        <v>13.19</v>
      </c>
      <c r="C9" s="10">
        <v>13.16</v>
      </c>
      <c r="D9" s="485">
        <f>AVERAGE(B9:C9)</f>
        <v>13.175000000000001</v>
      </c>
      <c r="E9" s="486"/>
      <c r="F9" s="481">
        <f>D15*D14/D20</f>
        <v>1.586415382101422E-3</v>
      </c>
      <c r="G9" s="482"/>
      <c r="H9" s="114">
        <f>D9-F9-M27</f>
        <v>13.173413584617899</v>
      </c>
      <c r="I9" s="285"/>
      <c r="J9" s="120"/>
      <c r="K9" s="104"/>
      <c r="L9" s="106"/>
      <c r="M9" s="106"/>
      <c r="N9" s="151"/>
      <c r="O9" s="197"/>
      <c r="P9" s="106"/>
      <c r="Q9" s="109"/>
      <c r="R9" s="198"/>
      <c r="S9" s="58" t="str">
        <f>Inicial!Q9</f>
        <v>3 WBT P</v>
      </c>
      <c r="T9" s="26">
        <v>0</v>
      </c>
      <c r="U9" s="11">
        <v>0</v>
      </c>
      <c r="V9" s="11">
        <f t="shared" si="1"/>
        <v>1.0249999999999999</v>
      </c>
      <c r="W9" s="732">
        <f t="shared" si="0"/>
        <v>0</v>
      </c>
      <c r="Y9" s="120"/>
      <c r="Z9" s="120"/>
      <c r="AA9" s="120"/>
      <c r="AB9" s="120"/>
      <c r="AC9" s="204">
        <f>AA4+AA5+AA6+AA7+AA8</f>
        <v>115</v>
      </c>
      <c r="AG9" s="246"/>
      <c r="AH9" s="314"/>
      <c r="AI9" s="314"/>
    </row>
    <row r="10" spans="1:35" ht="12.6" customHeight="1" thickBot="1">
      <c r="B10" s="3">
        <v>13.27</v>
      </c>
      <c r="C10" s="11">
        <v>13.29</v>
      </c>
      <c r="D10" s="487">
        <f>AVERAGE(B10:C10)</f>
        <v>13.28</v>
      </c>
      <c r="E10" s="488"/>
      <c r="F10" s="483">
        <f>D16*D14/D20</f>
        <v>3.6766708426384884E-4</v>
      </c>
      <c r="G10" s="484"/>
      <c r="H10" s="115">
        <f>D10-F10-M28</f>
        <v>13.279632332915735</v>
      </c>
      <c r="I10" s="285"/>
      <c r="J10" s="120"/>
      <c r="K10" s="104"/>
      <c r="L10" s="106"/>
      <c r="M10" s="106"/>
      <c r="N10" s="151"/>
      <c r="O10" s="476">
        <v>1.016</v>
      </c>
      <c r="P10" s="477"/>
      <c r="Q10" s="478"/>
      <c r="R10" s="198"/>
      <c r="S10" s="58" t="str">
        <f>Inicial!Q10</f>
        <v>3 WBT S</v>
      </c>
      <c r="T10" s="26">
        <v>0</v>
      </c>
      <c r="U10" s="11">
        <v>0</v>
      </c>
      <c r="V10" s="11">
        <f t="shared" si="1"/>
        <v>1.0249999999999999</v>
      </c>
      <c r="W10" s="732">
        <f t="shared" si="0"/>
        <v>0</v>
      </c>
      <c r="Y10" s="120"/>
      <c r="Z10" s="120"/>
      <c r="AA10" s="120"/>
      <c r="AB10" s="120"/>
      <c r="AC10" s="260"/>
      <c r="AG10" s="246"/>
      <c r="AH10" s="314"/>
      <c r="AI10" s="314"/>
    </row>
    <row r="11" spans="1:35" ht="12.6" customHeight="1" thickBot="1">
      <c r="A11" s="320"/>
      <c r="B11" s="4">
        <v>13.31</v>
      </c>
      <c r="C11" s="35">
        <v>13.29</v>
      </c>
      <c r="D11" s="489">
        <f>AVERAGE(B11:C11)</f>
        <v>13.3</v>
      </c>
      <c r="E11" s="490"/>
      <c r="F11" s="462">
        <f>D17*D14/D20</f>
        <v>6.1822539353995325E-3</v>
      </c>
      <c r="G11" s="463"/>
      <c r="H11" s="116">
        <f>D11+F11-M29</f>
        <v>13.3061822539354</v>
      </c>
      <c r="I11" s="285"/>
      <c r="J11" s="120"/>
      <c r="K11" s="104" t="s">
        <v>36</v>
      </c>
      <c r="L11" s="106"/>
      <c r="M11" s="106"/>
      <c r="N11" s="151"/>
      <c r="O11" s="473">
        <f>O8/1.025*O10</f>
        <v>73284.423171653994</v>
      </c>
      <c r="P11" s="474"/>
      <c r="Q11" s="475"/>
      <c r="R11" s="198"/>
      <c r="S11" s="58" t="str">
        <f>Inicial!Q11</f>
        <v xml:space="preserve">4 WBT P </v>
      </c>
      <c r="T11" s="26">
        <v>0</v>
      </c>
      <c r="U11" s="11">
        <v>0</v>
      </c>
      <c r="V11" s="11">
        <f t="shared" si="1"/>
        <v>1.0249999999999999</v>
      </c>
      <c r="W11" s="732">
        <f t="shared" si="0"/>
        <v>0</v>
      </c>
      <c r="Y11" s="405" t="s">
        <v>32</v>
      </c>
      <c r="Z11" s="406"/>
      <c r="AA11" s="406"/>
      <c r="AB11" s="406"/>
      <c r="AC11" s="398"/>
      <c r="AG11" s="246"/>
      <c r="AH11" s="314"/>
      <c r="AI11" s="314"/>
    </row>
    <row r="12" spans="1:35" ht="12.6" customHeight="1" thickBot="1">
      <c r="A12" s="216"/>
      <c r="B12" s="117" t="s">
        <v>34</v>
      </c>
      <c r="C12" s="492">
        <f>(H9+H11)/2</f>
        <v>13.239797919276651</v>
      </c>
      <c r="D12" s="493"/>
      <c r="E12" s="494"/>
      <c r="F12" s="405" t="s">
        <v>35</v>
      </c>
      <c r="G12" s="398"/>
      <c r="H12" s="183">
        <f>(H10+C12)/2</f>
        <v>13.259715126096193</v>
      </c>
      <c r="I12" s="294"/>
      <c r="J12" s="120"/>
      <c r="K12" s="104"/>
      <c r="L12" s="194"/>
      <c r="M12" s="194"/>
      <c r="N12" s="151"/>
      <c r="O12" s="194"/>
      <c r="P12" s="106"/>
      <c r="Q12" s="109"/>
      <c r="R12" s="198"/>
      <c r="S12" s="58" t="str">
        <f>Inicial!Q12</f>
        <v xml:space="preserve">4 WBT S </v>
      </c>
      <c r="T12" s="26">
        <v>0</v>
      </c>
      <c r="U12" s="11">
        <v>0</v>
      </c>
      <c r="V12" s="11">
        <f t="shared" si="1"/>
        <v>1.0249999999999999</v>
      </c>
      <c r="W12" s="732">
        <f t="shared" si="0"/>
        <v>0</v>
      </c>
      <c r="Y12" s="101" t="s">
        <v>33</v>
      </c>
      <c r="Z12" s="102"/>
      <c r="AA12" s="102"/>
      <c r="AB12" s="456">
        <v>748.40200000000004</v>
      </c>
      <c r="AC12" s="457"/>
      <c r="AG12" s="246"/>
      <c r="AH12" s="246"/>
      <c r="AI12" s="246"/>
    </row>
    <row r="13" spans="1:35" ht="12.6" customHeight="1" thickBot="1">
      <c r="B13" s="120"/>
      <c r="C13" s="120"/>
      <c r="D13" s="120"/>
      <c r="E13" s="120"/>
      <c r="F13" s="120"/>
      <c r="G13" s="120"/>
      <c r="H13" s="121"/>
      <c r="I13" s="120"/>
      <c r="J13" s="120"/>
      <c r="K13" s="104" t="s">
        <v>45</v>
      </c>
      <c r="L13" s="106"/>
      <c r="M13" s="151"/>
      <c r="N13" s="151"/>
      <c r="O13" s="422">
        <f>AB21</f>
        <v>1274.1402499999999</v>
      </c>
      <c r="P13" s="423"/>
      <c r="Q13" s="424"/>
      <c r="R13" s="198"/>
      <c r="S13" s="58" t="str">
        <f>Inicial!Q13</f>
        <v>5 WBT P</v>
      </c>
      <c r="T13" s="26">
        <v>0</v>
      </c>
      <c r="U13" s="11">
        <v>0</v>
      </c>
      <c r="V13" s="11">
        <f t="shared" si="1"/>
        <v>1.0249999999999999</v>
      </c>
      <c r="W13" s="732">
        <f t="shared" si="0"/>
        <v>0</v>
      </c>
      <c r="Y13" s="104" t="s">
        <v>37</v>
      </c>
      <c r="Z13" s="106"/>
      <c r="AA13" s="106"/>
      <c r="AB13" s="427">
        <v>226.80199999999999</v>
      </c>
      <c r="AC13" s="428"/>
      <c r="AG13" s="246"/>
      <c r="AH13" s="246"/>
      <c r="AI13" s="246"/>
    </row>
    <row r="14" spans="1:35" ht="12.6" customHeight="1" thickBot="1">
      <c r="A14" s="320"/>
      <c r="B14" s="391" t="s">
        <v>84</v>
      </c>
      <c r="C14" s="392"/>
      <c r="D14" s="187">
        <f>D11-D9</f>
        <v>0.125</v>
      </c>
      <c r="E14" s="261"/>
      <c r="F14" s="117" t="s">
        <v>40</v>
      </c>
      <c r="G14" s="431">
        <f>H11-H9</f>
        <v>0.13276866931750142</v>
      </c>
      <c r="H14" s="432"/>
      <c r="I14" s="255"/>
      <c r="J14" s="120"/>
      <c r="K14" s="104" t="s">
        <v>47</v>
      </c>
      <c r="L14" s="106"/>
      <c r="M14" s="151"/>
      <c r="N14" s="151"/>
      <c r="O14" s="436">
        <f>O11-O13</f>
        <v>72010.282921653998</v>
      </c>
      <c r="P14" s="437"/>
      <c r="Q14" s="438"/>
      <c r="R14" s="198"/>
      <c r="S14" s="58" t="str">
        <f>Inicial!Q14</f>
        <v>5 WBT S</v>
      </c>
      <c r="T14" s="26">
        <v>0</v>
      </c>
      <c r="U14" s="11">
        <v>0</v>
      </c>
      <c r="V14" s="11">
        <f t="shared" si="1"/>
        <v>1.0249999999999999</v>
      </c>
      <c r="W14" s="732">
        <f t="shared" si="0"/>
        <v>0</v>
      </c>
      <c r="Y14" s="104" t="s">
        <v>38</v>
      </c>
      <c r="Z14" s="106"/>
      <c r="AA14" s="106"/>
      <c r="AB14" s="427">
        <v>0</v>
      </c>
      <c r="AC14" s="428"/>
      <c r="AG14" s="246"/>
      <c r="AH14" s="246"/>
      <c r="AI14" s="246"/>
    </row>
    <row r="15" spans="1:35" ht="12.6" customHeight="1" thickBot="1">
      <c r="A15" s="216"/>
      <c r="B15" s="388" t="s">
        <v>42</v>
      </c>
      <c r="C15" s="129" t="s">
        <v>43</v>
      </c>
      <c r="D15" s="5">
        <v>2.33</v>
      </c>
      <c r="E15" s="261"/>
      <c r="I15" s="120"/>
      <c r="J15" s="120"/>
      <c r="K15" s="104" t="s">
        <v>85</v>
      </c>
      <c r="L15" s="106"/>
      <c r="M15" s="151"/>
      <c r="N15" s="151"/>
      <c r="O15" s="433">
        <f>Inicial!N18</f>
        <v>11918</v>
      </c>
      <c r="P15" s="434"/>
      <c r="Q15" s="435"/>
      <c r="R15" s="198"/>
      <c r="S15" s="58" t="str">
        <f>Inicial!Q15</f>
        <v>1 TST P</v>
      </c>
      <c r="T15" s="26">
        <v>0</v>
      </c>
      <c r="U15" s="11">
        <v>0</v>
      </c>
      <c r="V15" s="11">
        <f t="shared" si="1"/>
        <v>1.0249999999999999</v>
      </c>
      <c r="W15" s="732">
        <f t="shared" ref="W15:W29" si="2">U15*V15</f>
        <v>0</v>
      </c>
      <c r="Y15" s="57" t="s">
        <v>41</v>
      </c>
      <c r="Z15" s="51"/>
      <c r="AA15" s="51"/>
      <c r="AB15" s="429">
        <v>0</v>
      </c>
      <c r="AC15" s="430"/>
      <c r="AG15" s="246"/>
      <c r="AH15" s="246"/>
      <c r="AI15" s="246"/>
    </row>
    <row r="16" spans="1:35" ht="12.6" customHeight="1" thickBot="1">
      <c r="B16" s="389"/>
      <c r="C16" s="184" t="s">
        <v>46</v>
      </c>
      <c r="D16" s="6">
        <v>0.54</v>
      </c>
      <c r="E16" s="261"/>
      <c r="F16" s="190" t="s">
        <v>44</v>
      </c>
      <c r="G16" s="289">
        <f>(H10-C12)*100</f>
        <v>3.9834413639084687</v>
      </c>
      <c r="H16" s="290" t="s">
        <v>226</v>
      </c>
      <c r="I16" s="287"/>
      <c r="J16" s="120"/>
      <c r="K16" s="167"/>
      <c r="L16" s="151"/>
      <c r="M16" s="151"/>
      <c r="N16" s="151"/>
      <c r="O16" s="151"/>
      <c r="P16" s="151"/>
      <c r="Q16" s="171"/>
      <c r="R16" s="198"/>
      <c r="S16" s="58" t="str">
        <f>Inicial!Q16</f>
        <v>1 TST S</v>
      </c>
      <c r="T16" s="26">
        <v>0</v>
      </c>
      <c r="U16" s="11">
        <v>0</v>
      </c>
      <c r="V16" s="11">
        <f t="shared" si="1"/>
        <v>1.0249999999999999</v>
      </c>
      <c r="W16" s="732">
        <f t="shared" si="2"/>
        <v>0</v>
      </c>
      <c r="Y16" s="167"/>
      <c r="Z16" s="151"/>
      <c r="AA16" s="151"/>
      <c r="AB16" s="151"/>
      <c r="AC16" s="171"/>
      <c r="AG16" s="246"/>
      <c r="AH16" s="246"/>
      <c r="AI16" s="246"/>
    </row>
    <row r="17" spans="2:35" ht="12.6" customHeight="1" thickBot="1">
      <c r="B17" s="390"/>
      <c r="C17" s="130" t="s">
        <v>49</v>
      </c>
      <c r="D17" s="7">
        <v>9.08</v>
      </c>
      <c r="E17" s="261"/>
      <c r="F17" s="191"/>
      <c r="G17" s="451" t="str">
        <f>IF(G16&lt;0,"Hogging","Sagging")</f>
        <v>Sagging</v>
      </c>
      <c r="H17" s="452"/>
      <c r="I17" s="287"/>
      <c r="J17" s="120"/>
      <c r="K17" s="104" t="str">
        <f>IF(Capa!L4="Loading","Loaded","Discharged")</f>
        <v>Loaded</v>
      </c>
      <c r="L17" s="106"/>
      <c r="M17" s="151"/>
      <c r="N17" s="151"/>
      <c r="O17" s="407">
        <f>Inicial!N15</f>
        <v>59828.934999999998</v>
      </c>
      <c r="P17" s="408"/>
      <c r="Q17" s="409"/>
      <c r="R17" s="198"/>
      <c r="S17" s="58" t="str">
        <f>Inicial!Q17</f>
        <v>2 TST P</v>
      </c>
      <c r="T17" s="26">
        <v>0</v>
      </c>
      <c r="U17" s="11">
        <v>0</v>
      </c>
      <c r="V17" s="11">
        <f t="shared" si="1"/>
        <v>1.0249999999999999</v>
      </c>
      <c r="W17" s="732">
        <f t="shared" si="2"/>
        <v>0</v>
      </c>
      <c r="Y17" s="104" t="s">
        <v>48</v>
      </c>
      <c r="Z17" s="106"/>
      <c r="AA17" s="106"/>
      <c r="AB17" s="416">
        <f>AB12+AB13+AB14+AB15</f>
        <v>975.20400000000006</v>
      </c>
      <c r="AC17" s="417"/>
      <c r="AD17" s="246"/>
      <c r="AE17" s="246"/>
      <c r="AF17" s="246"/>
      <c r="AG17" s="247"/>
      <c r="AH17" s="247"/>
      <c r="AI17" s="247"/>
    </row>
    <row r="18" spans="2:35" ht="12.6" customHeight="1" thickBot="1">
      <c r="C18" s="185" t="s">
        <v>52</v>
      </c>
      <c r="D18" s="188">
        <f>Inicial!D19</f>
        <v>195</v>
      </c>
      <c r="E18" s="277"/>
      <c r="F18" s="120"/>
      <c r="G18" s="120"/>
      <c r="H18" s="121"/>
      <c r="I18" s="120"/>
      <c r="J18" s="120"/>
      <c r="K18" s="167"/>
      <c r="L18" s="151"/>
      <c r="M18" s="151"/>
      <c r="N18" s="151"/>
      <c r="O18" s="151"/>
      <c r="P18" s="151"/>
      <c r="Q18" s="171"/>
      <c r="R18" s="198"/>
      <c r="S18" s="58" t="str">
        <f>Inicial!Q18</f>
        <v>2 TST S</v>
      </c>
      <c r="T18" s="26">
        <v>0</v>
      </c>
      <c r="U18" s="11">
        <v>0</v>
      </c>
      <c r="V18" s="11">
        <f t="shared" si="1"/>
        <v>1.0249999999999999</v>
      </c>
      <c r="W18" s="732">
        <f t="shared" si="2"/>
        <v>0</v>
      </c>
      <c r="Y18" s="168" t="s">
        <v>51</v>
      </c>
      <c r="Z18" s="106"/>
      <c r="AA18" s="106"/>
      <c r="AB18" s="418">
        <f>W30</f>
        <v>183.93624999999997</v>
      </c>
      <c r="AC18" s="419"/>
      <c r="AD18" s="246"/>
      <c r="AE18" s="246"/>
      <c r="AF18" s="246"/>
      <c r="AG18" s="247"/>
      <c r="AH18" s="247"/>
      <c r="AI18" s="247"/>
    </row>
    <row r="19" spans="2:35" ht="12.6" customHeight="1" thickBot="1">
      <c r="C19" s="184" t="s">
        <v>57</v>
      </c>
      <c r="D19" s="189">
        <f>Inicial!D21</f>
        <v>32.24</v>
      </c>
      <c r="E19" s="282"/>
      <c r="F19" s="129" t="s">
        <v>56</v>
      </c>
      <c r="G19" s="509">
        <v>0</v>
      </c>
      <c r="H19" s="510"/>
      <c r="I19" s="277"/>
      <c r="J19" s="120"/>
      <c r="K19" s="104" t="s">
        <v>86</v>
      </c>
      <c r="L19" s="106"/>
      <c r="M19" s="151"/>
      <c r="N19" s="151"/>
      <c r="O19" s="413">
        <f>IF(Capa!L4="Discharging",Inicial!N17-O14,O14-Inicial!N17)</f>
        <v>59852.754132730202</v>
      </c>
      <c r="P19" s="414"/>
      <c r="Q19" s="415"/>
      <c r="R19" s="198"/>
      <c r="S19" s="58" t="str">
        <f>Inicial!Q19</f>
        <v>3 TST P</v>
      </c>
      <c r="T19" s="26">
        <v>0</v>
      </c>
      <c r="U19" s="11">
        <v>0</v>
      </c>
      <c r="V19" s="11">
        <f t="shared" si="1"/>
        <v>1.0249999999999999</v>
      </c>
      <c r="W19" s="732">
        <f t="shared" si="2"/>
        <v>0</v>
      </c>
      <c r="Y19" s="104" t="s">
        <v>54</v>
      </c>
      <c r="Z19" s="106"/>
      <c r="AA19" s="106"/>
      <c r="AB19" s="425">
        <f>AC9</f>
        <v>115</v>
      </c>
      <c r="AC19" s="426"/>
      <c r="AD19" s="246"/>
      <c r="AE19" s="246"/>
      <c r="AF19" s="246"/>
      <c r="AG19" s="247"/>
      <c r="AH19" s="247"/>
      <c r="AI19" s="247"/>
    </row>
    <row r="20" spans="2:35" ht="12.6" customHeight="1" thickBot="1">
      <c r="C20" s="186" t="s">
        <v>55</v>
      </c>
      <c r="D20" s="165">
        <f>D18-D17-D15</f>
        <v>183.58999999999997</v>
      </c>
      <c r="E20" s="277"/>
      <c r="F20" s="130" t="s">
        <v>58</v>
      </c>
      <c r="G20" s="511">
        <v>0</v>
      </c>
      <c r="H20" s="512"/>
      <c r="I20" s="272"/>
      <c r="J20" s="120"/>
      <c r="K20" s="104" t="s">
        <v>87</v>
      </c>
      <c r="L20" s="106"/>
      <c r="M20" s="151"/>
      <c r="N20" s="151"/>
      <c r="O20" s="410">
        <f>O19-O17</f>
        <v>23.819132730204728</v>
      </c>
      <c r="P20" s="411"/>
      <c r="Q20" s="412"/>
      <c r="R20" s="198"/>
      <c r="S20" s="58" t="str">
        <f>Inicial!Q20</f>
        <v>3 TST S</v>
      </c>
      <c r="T20" s="26">
        <v>0</v>
      </c>
      <c r="U20" s="11">
        <v>0</v>
      </c>
      <c r="V20" s="11">
        <f t="shared" si="1"/>
        <v>1.0249999999999999</v>
      </c>
      <c r="W20" s="732">
        <f t="shared" si="2"/>
        <v>0</v>
      </c>
      <c r="Y20" s="104"/>
      <c r="Z20" s="106"/>
      <c r="AA20" s="106"/>
      <c r="AB20" s="205"/>
      <c r="AC20" s="206"/>
      <c r="AG20" s="247"/>
      <c r="AH20" s="247"/>
      <c r="AI20" s="247"/>
    </row>
    <row r="21" spans="2:35" ht="12.6" customHeight="1" thickBot="1">
      <c r="B21" s="120"/>
      <c r="C21" s="120"/>
      <c r="D21" s="120"/>
      <c r="E21" s="120"/>
      <c r="F21" s="120"/>
      <c r="G21" s="120"/>
      <c r="H21" s="120"/>
      <c r="I21" s="120"/>
      <c r="J21" s="120"/>
      <c r="K21" s="195" t="s">
        <v>88</v>
      </c>
      <c r="L21" s="170"/>
      <c r="M21" s="196"/>
      <c r="N21" s="196"/>
      <c r="O21" s="453">
        <f>O20/O17*100</f>
        <v>3.9812062056937388E-2</v>
      </c>
      <c r="P21" s="454"/>
      <c r="Q21" s="455"/>
      <c r="R21" s="198"/>
      <c r="S21" s="58" t="str">
        <f>Inicial!Q21</f>
        <v>4 TST P</v>
      </c>
      <c r="T21" s="26">
        <v>0</v>
      </c>
      <c r="U21" s="11">
        <v>0</v>
      </c>
      <c r="V21" s="11">
        <f t="shared" si="1"/>
        <v>1.0249999999999999</v>
      </c>
      <c r="W21" s="732">
        <f t="shared" si="2"/>
        <v>0</v>
      </c>
      <c r="Y21" s="405" t="s">
        <v>61</v>
      </c>
      <c r="Z21" s="406"/>
      <c r="AA21" s="398"/>
      <c r="AB21" s="420">
        <f>AB17+AB18+AB19</f>
        <v>1274.1402499999999</v>
      </c>
      <c r="AC21" s="421"/>
      <c r="AG21" s="247"/>
      <c r="AH21" s="247"/>
      <c r="AI21" s="247"/>
    </row>
    <row r="22" spans="2:35" ht="12.6" customHeight="1" thickBot="1">
      <c r="B22" s="134" t="s">
        <v>62</v>
      </c>
      <c r="C22" s="397" t="s">
        <v>63</v>
      </c>
      <c r="D22" s="406"/>
      <c r="E22" s="491"/>
      <c r="F22" s="135" t="s">
        <v>64</v>
      </c>
      <c r="G22" s="397" t="s">
        <v>65</v>
      </c>
      <c r="H22" s="398"/>
      <c r="I22" s="321"/>
      <c r="J22" s="120"/>
      <c r="K22" s="120"/>
      <c r="L22" s="120"/>
      <c r="M22" s="120"/>
      <c r="N22" s="120"/>
      <c r="O22" s="120"/>
      <c r="P22" s="120"/>
      <c r="Q22" s="120"/>
      <c r="R22" s="198"/>
      <c r="S22" s="58" t="str">
        <f>Inicial!Q22</f>
        <v>4 TST S</v>
      </c>
      <c r="T22" s="26">
        <v>0</v>
      </c>
      <c r="U22" s="11">
        <v>0</v>
      </c>
      <c r="V22" s="11">
        <f t="shared" si="1"/>
        <v>1.0249999999999999</v>
      </c>
      <c r="W22" s="732">
        <f t="shared" si="2"/>
        <v>0</v>
      </c>
      <c r="AG22" s="247"/>
      <c r="AH22" s="247"/>
      <c r="AI22" s="247"/>
    </row>
    <row r="23" spans="2:35" ht="12.6" customHeight="1" thickBot="1">
      <c r="B23" s="9">
        <v>13.25</v>
      </c>
      <c r="C23" s="394">
        <v>73798</v>
      </c>
      <c r="D23" s="395"/>
      <c r="E23" s="396"/>
      <c r="F23" s="11">
        <v>61.4</v>
      </c>
      <c r="G23" s="403">
        <v>3.53</v>
      </c>
      <c r="H23" s="404"/>
      <c r="I23" s="267">
        <f>B24-B23</f>
        <v>5.0000000000000711E-2</v>
      </c>
      <c r="J23" s="120"/>
      <c r="K23" s="405" t="s">
        <v>89</v>
      </c>
      <c r="L23" s="406"/>
      <c r="M23" s="398"/>
      <c r="O23" s="405" t="s">
        <v>155</v>
      </c>
      <c r="P23" s="406"/>
      <c r="Q23" s="398"/>
      <c r="R23" s="198"/>
      <c r="S23" s="58" t="str">
        <f>Inicial!Q23</f>
        <v>5 TST P</v>
      </c>
      <c r="T23" s="26">
        <v>0</v>
      </c>
      <c r="U23" s="11">
        <v>0</v>
      </c>
      <c r="V23" s="11">
        <f t="shared" si="1"/>
        <v>1.0249999999999999</v>
      </c>
      <c r="W23" s="732">
        <f t="shared" si="2"/>
        <v>0</v>
      </c>
      <c r="Z23" s="150" t="s">
        <v>192</v>
      </c>
      <c r="AA23" s="207">
        <f>((C10-B10)/D19)*57.3</f>
        <v>3.554590570719527E-2</v>
      </c>
      <c r="AB23" s="322"/>
      <c r="AG23" s="247"/>
      <c r="AH23" s="247"/>
      <c r="AI23" s="247"/>
    </row>
    <row r="24" spans="2:35" ht="12.6" customHeight="1" thickBot="1">
      <c r="B24" s="9">
        <v>13.3</v>
      </c>
      <c r="C24" s="449">
        <v>74105</v>
      </c>
      <c r="D24" s="495"/>
      <c r="E24" s="496"/>
      <c r="F24" s="11">
        <v>61.4</v>
      </c>
      <c r="G24" s="401">
        <v>3.54</v>
      </c>
      <c r="H24" s="402"/>
      <c r="I24" s="267">
        <f>B25-B23</f>
        <v>1.9673729505964133E-2</v>
      </c>
      <c r="J24" s="120"/>
      <c r="K24" s="210">
        <f>D18/2</f>
        <v>97.5</v>
      </c>
      <c r="L24" s="14">
        <v>0</v>
      </c>
      <c r="M24" s="212">
        <f>K24-L24</f>
        <v>97.5</v>
      </c>
      <c r="O24" s="506">
        <v>70600</v>
      </c>
      <c r="P24" s="507"/>
      <c r="Q24" s="508"/>
      <c r="R24" s="198"/>
      <c r="S24" s="58" t="str">
        <f>Inicial!Q24</f>
        <v>5 TST S</v>
      </c>
      <c r="T24" s="26">
        <v>0</v>
      </c>
      <c r="U24" s="11">
        <v>0</v>
      </c>
      <c r="V24" s="11">
        <f t="shared" si="1"/>
        <v>1.0249999999999999</v>
      </c>
      <c r="W24" s="732">
        <f t="shared" si="2"/>
        <v>0</v>
      </c>
      <c r="Y24" s="198"/>
      <c r="Z24" s="513" t="str">
        <f>IF(AA23&lt;0,"Port Side",IF(AA23&gt;0,"Starboard Side","Upright"))</f>
        <v>Starboard Side</v>
      </c>
      <c r="AA24" s="452"/>
      <c r="AG24" s="247"/>
      <c r="AH24" s="247"/>
      <c r="AI24" s="247"/>
    </row>
    <row r="25" spans="2:35" ht="12.6" customHeight="1" thickBot="1">
      <c r="B25" s="136">
        <f>(H12+H10)/2-M30</f>
        <v>13.269673729505964</v>
      </c>
      <c r="C25" s="445">
        <f>C23+(C24-C23)*$I25</f>
        <v>73918.796699166618</v>
      </c>
      <c r="D25" s="497"/>
      <c r="E25" s="498"/>
      <c r="F25" s="137">
        <f>F23+(F24-F23)*$I25</f>
        <v>61.4</v>
      </c>
      <c r="G25" s="399">
        <f>G23+(G24-G23)*$I25</f>
        <v>3.5339347459011927</v>
      </c>
      <c r="H25" s="400"/>
      <c r="I25" s="267">
        <f>I24/I23</f>
        <v>0.39347459011927705</v>
      </c>
      <c r="J25" s="120"/>
      <c r="K25" s="211"/>
      <c r="L25" s="15">
        <v>0</v>
      </c>
      <c r="M25" s="213">
        <f>K24-L25</f>
        <v>97.5</v>
      </c>
      <c r="O25" s="320"/>
      <c r="P25" s="502"/>
      <c r="Q25" s="502"/>
      <c r="R25" s="198"/>
      <c r="S25" s="58" t="str">
        <f>Inicial!Q25</f>
        <v>APT</v>
      </c>
      <c r="T25" s="26">
        <v>0</v>
      </c>
      <c r="U25" s="11">
        <v>0</v>
      </c>
      <c r="V25" s="11">
        <f t="shared" si="1"/>
        <v>1.0249999999999999</v>
      </c>
      <c r="W25" s="732">
        <f t="shared" si="2"/>
        <v>0</v>
      </c>
      <c r="AD25" s="246"/>
      <c r="AE25" s="246"/>
      <c r="AF25" s="246"/>
      <c r="AG25" s="247"/>
      <c r="AH25" s="247"/>
      <c r="AI25" s="247"/>
    </row>
    <row r="26" spans="2:35" ht="12.6" customHeight="1" thickBot="1">
      <c r="B26" s="138" t="s">
        <v>71</v>
      </c>
      <c r="C26" s="397" t="s">
        <v>72</v>
      </c>
      <c r="D26" s="406"/>
      <c r="E26" s="491"/>
      <c r="F26" s="192" t="s">
        <v>91</v>
      </c>
      <c r="G26" s="397" t="s">
        <v>74</v>
      </c>
      <c r="H26" s="398"/>
      <c r="I26" s="321"/>
      <c r="J26" s="120"/>
      <c r="O26" s="320"/>
      <c r="P26" s="393"/>
      <c r="Q26" s="393"/>
      <c r="R26" s="198"/>
      <c r="S26" s="58">
        <f>Inicial!Q26</f>
        <v>0</v>
      </c>
      <c r="T26" s="26">
        <v>0</v>
      </c>
      <c r="U26" s="11">
        <v>0</v>
      </c>
      <c r="V26" s="11">
        <f t="shared" si="1"/>
        <v>1.0249999999999999</v>
      </c>
      <c r="W26" s="732">
        <f t="shared" si="2"/>
        <v>0</v>
      </c>
      <c r="Y26" s="256"/>
      <c r="Z26" s="499" t="s">
        <v>90</v>
      </c>
      <c r="AA26" s="500"/>
      <c r="AB26" s="501"/>
      <c r="AC26" s="198"/>
      <c r="AD26" s="246"/>
      <c r="AE26" s="246"/>
      <c r="AF26" s="246"/>
      <c r="AG26" s="247"/>
      <c r="AH26" s="247"/>
      <c r="AI26" s="247"/>
    </row>
    <row r="27" spans="2:35" ht="12.6" customHeight="1" thickBot="1">
      <c r="B27" s="140">
        <f>B23-0.5</f>
        <v>12.75</v>
      </c>
      <c r="C27" s="394">
        <v>917.7</v>
      </c>
      <c r="D27" s="395"/>
      <c r="E27" s="396"/>
      <c r="F27" s="144">
        <f>B23+0.5</f>
        <v>13.75</v>
      </c>
      <c r="G27" s="394">
        <v>923.5</v>
      </c>
      <c r="H27" s="505"/>
      <c r="I27" s="255"/>
      <c r="J27" s="120"/>
      <c r="K27" s="503" t="s">
        <v>92</v>
      </c>
      <c r="L27" s="504"/>
      <c r="M27" s="59">
        <v>0</v>
      </c>
      <c r="O27" s="320"/>
      <c r="P27" s="393"/>
      <c r="Q27" s="393"/>
      <c r="R27" s="198"/>
      <c r="S27" s="58">
        <f>Inicial!Q27</f>
        <v>0</v>
      </c>
      <c r="T27" s="26">
        <v>0</v>
      </c>
      <c r="U27" s="11">
        <v>0</v>
      </c>
      <c r="V27" s="11">
        <f t="shared" si="1"/>
        <v>1.0249999999999999</v>
      </c>
      <c r="W27" s="732">
        <f t="shared" si="2"/>
        <v>0</v>
      </c>
      <c r="Y27" s="208" t="s">
        <v>70</v>
      </c>
      <c r="Z27" s="39">
        <v>0.5</v>
      </c>
      <c r="AA27" s="177">
        <f>G14</f>
        <v>0.13276866931750142</v>
      </c>
      <c r="AB27" s="42">
        <v>1</v>
      </c>
      <c r="AD27" s="246"/>
      <c r="AE27" s="246"/>
      <c r="AF27" s="246"/>
      <c r="AG27" s="247"/>
      <c r="AH27" s="247"/>
      <c r="AI27" s="247"/>
    </row>
    <row r="28" spans="2:35" ht="12.6" customHeight="1">
      <c r="B28" s="141">
        <f>B24-0.5</f>
        <v>12.8</v>
      </c>
      <c r="C28" s="449">
        <v>918.1</v>
      </c>
      <c r="D28" s="495"/>
      <c r="E28" s="496"/>
      <c r="F28" s="145">
        <f>B24+0.5</f>
        <v>13.8</v>
      </c>
      <c r="G28" s="449">
        <v>923.7</v>
      </c>
      <c r="H28" s="450"/>
      <c r="I28" s="255"/>
      <c r="J28" s="120"/>
      <c r="K28" s="440" t="s">
        <v>93</v>
      </c>
      <c r="L28" s="441"/>
      <c r="M28" s="60">
        <v>0</v>
      </c>
      <c r="O28" s="320"/>
      <c r="P28" s="393"/>
      <c r="Q28" s="393"/>
      <c r="R28" s="198"/>
      <c r="S28" s="58">
        <f>Inicial!Q28</f>
        <v>0</v>
      </c>
      <c r="T28" s="26">
        <v>0</v>
      </c>
      <c r="U28" s="11">
        <v>0</v>
      </c>
      <c r="V28" s="11">
        <f t="shared" si="1"/>
        <v>1.0249999999999999</v>
      </c>
      <c r="W28" s="732">
        <f t="shared" si="2"/>
        <v>0</v>
      </c>
      <c r="Y28" s="61">
        <v>1</v>
      </c>
      <c r="Z28" s="62">
        <v>1</v>
      </c>
      <c r="AA28" s="264"/>
      <c r="AB28" s="63">
        <v>1</v>
      </c>
      <c r="AD28" s="246"/>
      <c r="AE28" s="246"/>
      <c r="AF28" s="246"/>
      <c r="AG28" s="247"/>
      <c r="AH28" s="247"/>
      <c r="AI28" s="247"/>
    </row>
    <row r="29" spans="2:35" ht="12.6" customHeight="1" thickBot="1">
      <c r="B29" s="142">
        <f>B25-0.5</f>
        <v>12.769673729505964</v>
      </c>
      <c r="C29" s="445">
        <f>C27+(C28-C27)*$I25</f>
        <v>917.85738983604779</v>
      </c>
      <c r="D29" s="497"/>
      <c r="E29" s="498"/>
      <c r="F29" s="143">
        <f>B25+0.5</f>
        <v>13.769673729505964</v>
      </c>
      <c r="G29" s="445">
        <f>G27+(G28-G27)*$I25</f>
        <v>923.57869491802387</v>
      </c>
      <c r="H29" s="446"/>
      <c r="I29" s="255"/>
      <c r="J29" s="120"/>
      <c r="K29" s="440" t="s">
        <v>94</v>
      </c>
      <c r="L29" s="441"/>
      <c r="M29" s="60">
        <v>0</v>
      </c>
      <c r="R29" s="198"/>
      <c r="S29" s="727">
        <f>Inicial!Q29</f>
        <v>0</v>
      </c>
      <c r="T29" s="728">
        <v>0</v>
      </c>
      <c r="U29" s="35">
        <v>0</v>
      </c>
      <c r="V29" s="35">
        <f t="shared" si="1"/>
        <v>1.0249999999999999</v>
      </c>
      <c r="W29" s="733">
        <f t="shared" si="2"/>
        <v>0</v>
      </c>
      <c r="Y29" s="64">
        <v>2</v>
      </c>
      <c r="Z29" s="176">
        <f>Z32</f>
        <v>1</v>
      </c>
      <c r="AA29" s="182">
        <f>Z36</f>
        <v>1</v>
      </c>
      <c r="AB29" s="178">
        <f>AB32</f>
        <v>1</v>
      </c>
      <c r="AD29" s="246"/>
      <c r="AE29" s="246"/>
      <c r="AF29" s="246"/>
      <c r="AG29" s="247"/>
      <c r="AH29" s="247"/>
      <c r="AI29" s="247"/>
    </row>
    <row r="30" spans="2:35" ht="12.6" customHeight="1" thickBot="1">
      <c r="B30" s="120"/>
      <c r="C30" s="405" t="s">
        <v>95</v>
      </c>
      <c r="D30" s="406"/>
      <c r="E30" s="398"/>
      <c r="F30" s="447">
        <f>G29-C29</f>
        <v>5.7213050819760838</v>
      </c>
      <c r="G30" s="448"/>
      <c r="H30" s="278"/>
      <c r="I30" s="120"/>
      <c r="J30" s="120"/>
      <c r="K30" s="443" t="s">
        <v>96</v>
      </c>
      <c r="L30" s="444"/>
      <c r="M30" s="65">
        <v>0</v>
      </c>
      <c r="R30" s="198"/>
      <c r="S30" s="723"/>
      <c r="T30" s="724"/>
      <c r="U30" s="66">
        <f>SUM(U4:U29)</f>
        <v>179.45</v>
      </c>
      <c r="V30" s="67"/>
      <c r="W30" s="209">
        <f>SUM(W4:W29)</f>
        <v>183.93624999999997</v>
      </c>
      <c r="Y30" s="68">
        <v>3</v>
      </c>
      <c r="Z30" s="69">
        <v>1</v>
      </c>
      <c r="AA30" s="253"/>
      <c r="AB30" s="70">
        <v>1</v>
      </c>
      <c r="AC30" s="198"/>
      <c r="AD30" s="246"/>
      <c r="AE30" s="246"/>
      <c r="AF30" s="246"/>
      <c r="AG30" s="247"/>
      <c r="AH30" s="247"/>
      <c r="AI30" s="247"/>
    </row>
    <row r="31" spans="2:35" ht="12" customHeight="1">
      <c r="I31" s="312"/>
      <c r="J31" s="313"/>
      <c r="R31" s="246"/>
      <c r="S31" s="1"/>
      <c r="T31" s="1"/>
      <c r="U31" s="1"/>
      <c r="V31" s="1"/>
      <c r="W31" s="1"/>
      <c r="Y31" s="317">
        <f>Y30-Y28</f>
        <v>2</v>
      </c>
      <c r="Z31" s="258"/>
      <c r="AA31" s="318"/>
      <c r="AB31" s="318"/>
      <c r="AD31" s="246"/>
      <c r="AE31" s="246"/>
      <c r="AF31" s="246"/>
      <c r="AG31" s="247"/>
      <c r="AH31" s="247"/>
      <c r="AI31" s="247"/>
    </row>
    <row r="32" spans="2:35" ht="12" customHeight="1">
      <c r="I32" s="312"/>
      <c r="J32" s="313"/>
      <c r="R32" s="246"/>
      <c r="S32" s="1"/>
      <c r="T32" s="1"/>
      <c r="U32" s="1"/>
      <c r="V32" s="1"/>
      <c r="W32" s="1"/>
      <c r="Y32" s="317">
        <f>Y29-Y28</f>
        <v>1</v>
      </c>
      <c r="Z32" s="258">
        <f>(Z30-Z28)*Y33+Z28</f>
        <v>1</v>
      </c>
      <c r="AA32" s="258"/>
      <c r="AB32" s="258">
        <f>(AB30-AB28)*Y33+AB28</f>
        <v>1</v>
      </c>
      <c r="AC32" s="246"/>
      <c r="AD32" s="246"/>
      <c r="AE32" s="246"/>
      <c r="AF32" s="246"/>
      <c r="AG32" s="247"/>
      <c r="AH32" s="247"/>
      <c r="AI32" s="247"/>
    </row>
    <row r="33" spans="2:35" ht="12" customHeight="1">
      <c r="I33" s="312"/>
      <c r="J33" s="313"/>
      <c r="R33" s="246"/>
      <c r="S33" s="1"/>
      <c r="T33" s="1"/>
      <c r="U33" s="1"/>
      <c r="V33" s="1"/>
      <c r="W33" s="1"/>
      <c r="Y33" s="317">
        <f>Y32/Y31</f>
        <v>0.5</v>
      </c>
      <c r="Z33" s="258"/>
      <c r="AA33" s="258"/>
      <c r="AB33" s="258"/>
      <c r="AC33" s="246"/>
      <c r="AD33" s="246"/>
      <c r="AE33" s="246"/>
      <c r="AF33" s="246"/>
      <c r="AG33" s="247"/>
      <c r="AH33" s="247"/>
      <c r="AI33" s="247"/>
    </row>
    <row r="34" spans="2:35" ht="12" customHeight="1">
      <c r="I34" s="312"/>
      <c r="J34" s="313"/>
      <c r="R34" s="246"/>
      <c r="S34" s="1"/>
      <c r="T34" s="1"/>
      <c r="U34" s="1"/>
      <c r="V34" s="1"/>
      <c r="W34" s="1"/>
      <c r="Y34" s="258"/>
      <c r="Z34" s="258"/>
      <c r="AA34" s="258"/>
      <c r="AB34" s="258"/>
      <c r="AC34" s="246"/>
      <c r="AD34" s="246"/>
      <c r="AE34" s="246"/>
      <c r="AF34" s="246"/>
      <c r="AG34" s="247"/>
      <c r="AH34" s="247"/>
      <c r="AI34" s="247"/>
    </row>
    <row r="35" spans="2:35" ht="12" customHeight="1">
      <c r="I35" s="312"/>
      <c r="J35" s="313"/>
      <c r="R35" s="246"/>
      <c r="S35" s="1"/>
      <c r="T35" s="1"/>
      <c r="U35" s="1"/>
      <c r="V35" s="1"/>
      <c r="W35" s="1"/>
      <c r="Y35" s="317">
        <f>AB27-Z27</f>
        <v>0.5</v>
      </c>
      <c r="Z35" s="258"/>
      <c r="AA35" s="319"/>
      <c r="AB35" s="319"/>
      <c r="AC35" s="247"/>
      <c r="AD35" s="247"/>
      <c r="AE35" s="247"/>
      <c r="AF35" s="247"/>
      <c r="AG35" s="247"/>
      <c r="AH35" s="247"/>
      <c r="AI35" s="247"/>
    </row>
    <row r="36" spans="2:35" ht="12" customHeight="1">
      <c r="C36" s="242"/>
      <c r="D36" s="242"/>
      <c r="E36" s="242"/>
      <c r="F36" s="242"/>
      <c r="I36" s="312"/>
      <c r="J36" s="313"/>
      <c r="R36" s="246"/>
      <c r="S36" s="1"/>
      <c r="T36" s="1"/>
      <c r="U36" s="1"/>
      <c r="V36" s="1"/>
      <c r="W36" s="1"/>
      <c r="X36" s="246"/>
      <c r="Y36" s="259">
        <f>AA27-Z27</f>
        <v>-0.36723133068249858</v>
      </c>
      <c r="Z36" s="258">
        <f>(AB29-Z29)*Y37+Z29</f>
        <v>1</v>
      </c>
      <c r="AA36" s="319"/>
      <c r="AB36" s="319"/>
      <c r="AC36" s="247"/>
      <c r="AD36" s="247"/>
      <c r="AE36" s="247"/>
      <c r="AF36" s="247"/>
      <c r="AG36" s="247"/>
      <c r="AH36" s="247"/>
      <c r="AI36" s="247"/>
    </row>
    <row r="37" spans="2:35" ht="12" customHeight="1">
      <c r="C37" s="242"/>
      <c r="D37" s="242"/>
      <c r="E37" s="242"/>
      <c r="F37" s="242"/>
      <c r="I37" s="312"/>
      <c r="J37" s="313"/>
      <c r="R37" s="246"/>
      <c r="S37" s="1"/>
      <c r="T37" s="1"/>
      <c r="U37" s="1"/>
      <c r="V37" s="1"/>
      <c r="W37" s="1"/>
      <c r="X37" s="246"/>
      <c r="Y37" s="258">
        <f>Y36/Y35</f>
        <v>-0.73446266136499716</v>
      </c>
      <c r="Z37" s="258"/>
      <c r="AA37" s="319"/>
      <c r="AB37" s="319"/>
      <c r="AC37" s="247"/>
      <c r="AD37" s="247"/>
      <c r="AE37" s="247"/>
      <c r="AF37" s="247"/>
      <c r="AG37" s="247"/>
      <c r="AH37" s="247"/>
      <c r="AI37" s="247"/>
    </row>
    <row r="38" spans="2:35" ht="12" customHeight="1">
      <c r="B38" s="258"/>
      <c r="C38" s="244"/>
      <c r="D38" s="244"/>
      <c r="E38" s="244"/>
      <c r="F38" s="244"/>
      <c r="I38" s="312"/>
      <c r="J38" s="313"/>
      <c r="R38" s="246"/>
      <c r="S38" s="1"/>
      <c r="T38" s="1"/>
      <c r="U38" s="1"/>
      <c r="V38" s="1"/>
      <c r="W38" s="1"/>
      <c r="X38" s="246"/>
      <c r="Y38" s="246"/>
      <c r="Z38" s="246"/>
      <c r="AA38" s="247"/>
      <c r="AB38" s="247"/>
      <c r="AC38" s="247"/>
      <c r="AD38" s="247"/>
      <c r="AE38" s="247"/>
      <c r="AF38" s="247"/>
      <c r="AG38" s="247"/>
      <c r="AH38" s="247"/>
      <c r="AI38" s="247"/>
    </row>
    <row r="39" spans="2:35" ht="12" customHeight="1">
      <c r="B39" s="259" t="s">
        <v>80</v>
      </c>
      <c r="C39" s="263"/>
      <c r="D39" s="263"/>
      <c r="E39" s="263"/>
      <c r="F39" s="263"/>
      <c r="I39" s="312"/>
      <c r="J39" s="313"/>
      <c r="R39" s="246"/>
      <c r="X39" s="246"/>
      <c r="Y39" s="246"/>
      <c r="Z39" s="246"/>
      <c r="AA39" s="247"/>
      <c r="AB39" s="247"/>
      <c r="AC39" s="247"/>
      <c r="AD39" s="247"/>
      <c r="AE39" s="247"/>
      <c r="AF39" s="247"/>
      <c r="AG39" s="247"/>
      <c r="AH39" s="247"/>
      <c r="AI39" s="247"/>
    </row>
    <row r="40" spans="2:35" ht="12" customHeight="1">
      <c r="B40" s="258" t="s">
        <v>81</v>
      </c>
      <c r="C40" s="263"/>
      <c r="D40" s="263"/>
      <c r="E40" s="263"/>
      <c r="F40" s="263"/>
      <c r="I40" s="312"/>
      <c r="J40" s="313"/>
      <c r="R40" s="246"/>
      <c r="X40" s="246"/>
      <c r="Y40" s="246"/>
      <c r="Z40" s="246"/>
      <c r="AA40" s="247"/>
      <c r="AB40" s="247"/>
      <c r="AC40" s="247"/>
      <c r="AD40" s="247"/>
      <c r="AE40" s="247"/>
      <c r="AF40" s="247"/>
      <c r="AG40" s="247"/>
      <c r="AH40" s="247"/>
      <c r="AI40" s="247"/>
    </row>
    <row r="41" spans="2:35" ht="12" customHeight="1">
      <c r="B41" s="258"/>
      <c r="C41" s="244"/>
      <c r="D41" s="244"/>
      <c r="E41" s="244"/>
      <c r="F41" s="244"/>
      <c r="I41" s="312"/>
      <c r="J41" s="313"/>
      <c r="R41" s="246"/>
      <c r="X41" s="246"/>
      <c r="Y41" s="246"/>
      <c r="Z41" s="246"/>
      <c r="AA41" s="247"/>
      <c r="AB41" s="247"/>
      <c r="AC41" s="247"/>
      <c r="AD41" s="247"/>
      <c r="AE41" s="247"/>
      <c r="AF41" s="247"/>
      <c r="AG41" s="247"/>
      <c r="AH41" s="247"/>
      <c r="AI41" s="247"/>
    </row>
    <row r="42" spans="2:35" ht="12" customHeight="1">
      <c r="B42" s="258"/>
      <c r="C42" s="244"/>
      <c r="D42" s="263"/>
      <c r="E42" s="263"/>
      <c r="F42" s="244"/>
      <c r="I42" s="312"/>
      <c r="J42" s="313"/>
      <c r="R42" s="246"/>
      <c r="X42" s="246"/>
      <c r="Y42" s="246"/>
      <c r="Z42" s="246"/>
      <c r="AA42" s="247"/>
      <c r="AB42" s="247"/>
      <c r="AC42" s="247"/>
      <c r="AD42" s="247"/>
      <c r="AE42" s="247"/>
      <c r="AF42" s="247"/>
      <c r="AG42" s="247"/>
      <c r="AH42" s="247"/>
      <c r="AI42" s="247"/>
    </row>
    <row r="43" spans="2:35" ht="12" customHeight="1">
      <c r="C43" s="242"/>
      <c r="D43" s="242"/>
      <c r="E43" s="242"/>
      <c r="F43" s="242"/>
      <c r="I43" s="312"/>
      <c r="J43" s="313"/>
      <c r="R43" s="246"/>
      <c r="X43" s="246"/>
      <c r="Y43" s="246"/>
      <c r="Z43" s="246"/>
      <c r="AA43" s="247"/>
      <c r="AB43" s="247"/>
      <c r="AC43" s="247"/>
      <c r="AD43" s="247"/>
      <c r="AE43" s="247"/>
      <c r="AF43" s="247"/>
      <c r="AG43" s="247"/>
      <c r="AH43" s="247"/>
      <c r="AI43" s="247"/>
    </row>
    <row r="44" spans="2:35" ht="12" customHeight="1">
      <c r="C44" s="242"/>
      <c r="D44" s="242"/>
      <c r="E44" s="242"/>
      <c r="F44" s="242"/>
      <c r="I44" s="312"/>
      <c r="J44" s="313"/>
      <c r="R44" s="246"/>
      <c r="X44" s="246"/>
      <c r="Y44" s="246"/>
      <c r="Z44" s="246"/>
      <c r="AA44" s="247"/>
      <c r="AB44" s="247"/>
      <c r="AC44" s="247"/>
      <c r="AD44" s="247"/>
      <c r="AE44" s="247"/>
      <c r="AF44" s="247"/>
      <c r="AG44" s="247"/>
      <c r="AH44" s="247"/>
      <c r="AI44" s="247"/>
    </row>
    <row r="45" spans="2:35" ht="12" customHeight="1">
      <c r="I45" s="312"/>
      <c r="J45" s="313"/>
      <c r="R45" s="246"/>
      <c r="X45" s="246"/>
      <c r="Y45" s="246"/>
      <c r="Z45" s="246"/>
      <c r="AA45" s="247"/>
      <c r="AB45" s="247"/>
      <c r="AC45" s="247"/>
      <c r="AD45" s="247"/>
      <c r="AE45" s="247"/>
      <c r="AF45" s="247"/>
      <c r="AG45" s="247"/>
      <c r="AH45" s="247"/>
      <c r="AI45" s="247"/>
    </row>
    <row r="46" spans="2:35" ht="12" customHeight="1">
      <c r="I46" s="312"/>
      <c r="J46" s="313"/>
      <c r="R46" s="246"/>
      <c r="X46" s="246"/>
      <c r="Y46" s="246"/>
      <c r="Z46" s="246"/>
      <c r="AA46" s="247"/>
      <c r="AB46" s="247"/>
      <c r="AC46" s="247"/>
      <c r="AD46" s="247"/>
      <c r="AE46" s="247"/>
      <c r="AF46" s="247"/>
      <c r="AG46" s="247"/>
      <c r="AH46" s="247"/>
      <c r="AI46" s="247"/>
    </row>
    <row r="47" spans="2:35" ht="12" customHeight="1">
      <c r="I47" s="312"/>
      <c r="J47" s="313"/>
      <c r="R47" s="246"/>
      <c r="X47" s="246"/>
      <c r="Y47" s="246"/>
      <c r="Z47" s="246"/>
      <c r="AA47" s="247"/>
      <c r="AB47" s="247"/>
      <c r="AC47" s="247"/>
      <c r="AD47" s="247"/>
      <c r="AE47" s="247"/>
      <c r="AF47" s="247"/>
      <c r="AG47" s="247"/>
      <c r="AH47" s="247"/>
      <c r="AI47" s="247"/>
    </row>
    <row r="48" spans="2:35" ht="12" customHeight="1">
      <c r="I48" s="312"/>
      <c r="J48" s="313"/>
      <c r="R48" s="246"/>
      <c r="X48" s="246"/>
      <c r="Y48" s="246"/>
      <c r="Z48" s="246"/>
      <c r="AA48" s="247"/>
      <c r="AB48" s="247"/>
      <c r="AC48" s="247"/>
      <c r="AD48" s="247"/>
      <c r="AE48" s="247"/>
      <c r="AF48" s="247"/>
      <c r="AG48" s="247"/>
      <c r="AH48" s="247"/>
      <c r="AI48" s="247"/>
    </row>
    <row r="49" spans="2:35" ht="12" customHeight="1">
      <c r="B49" s="120"/>
      <c r="C49" s="120"/>
      <c r="D49" s="120"/>
      <c r="E49" s="120"/>
      <c r="F49" s="120"/>
      <c r="G49" s="120"/>
      <c r="H49" s="120"/>
      <c r="I49" s="312"/>
      <c r="J49" s="313"/>
      <c r="R49" s="246"/>
      <c r="X49" s="246"/>
      <c r="Y49" s="246"/>
      <c r="Z49" s="246"/>
      <c r="AA49" s="247"/>
      <c r="AB49" s="247"/>
      <c r="AC49" s="247"/>
      <c r="AD49" s="247"/>
      <c r="AE49" s="247"/>
      <c r="AF49" s="247"/>
      <c r="AG49" s="247"/>
      <c r="AH49" s="247"/>
      <c r="AI49" s="247"/>
    </row>
    <row r="50" spans="2:35">
      <c r="B50" s="120"/>
      <c r="C50" s="120"/>
      <c r="D50" s="120"/>
      <c r="E50" s="120"/>
      <c r="F50" s="120"/>
      <c r="G50" s="120"/>
      <c r="H50" s="120"/>
      <c r="I50" s="246"/>
      <c r="J50" s="246"/>
      <c r="R50" s="246"/>
      <c r="X50" s="246"/>
      <c r="Y50" s="246"/>
      <c r="Z50" s="246"/>
      <c r="AA50" s="247"/>
      <c r="AB50" s="247"/>
      <c r="AC50" s="247"/>
      <c r="AD50" s="247"/>
      <c r="AE50" s="247"/>
      <c r="AF50" s="247"/>
      <c r="AG50" s="247"/>
      <c r="AH50" s="247"/>
      <c r="AI50" s="247"/>
    </row>
    <row r="51" spans="2:35" ht="17.25" customHeight="1">
      <c r="B51" s="120"/>
      <c r="C51" s="120"/>
      <c r="D51" s="120"/>
      <c r="E51" s="120"/>
      <c r="F51" s="120"/>
      <c r="G51" s="120"/>
      <c r="H51" s="120"/>
      <c r="I51" s="246"/>
      <c r="J51" s="246"/>
      <c r="R51" s="246"/>
      <c r="X51" s="246"/>
      <c r="Y51" s="246"/>
      <c r="Z51" s="246"/>
      <c r="AA51" s="247"/>
      <c r="AB51" s="247"/>
      <c r="AC51" s="247"/>
      <c r="AD51" s="247"/>
      <c r="AE51" s="247"/>
      <c r="AF51" s="247"/>
      <c r="AG51" s="247"/>
      <c r="AH51" s="247"/>
      <c r="AI51" s="247"/>
    </row>
    <row r="52" spans="2:35" ht="18.75" customHeight="1">
      <c r="B52" s="313"/>
      <c r="C52" s="313"/>
      <c r="D52" s="313"/>
      <c r="E52" s="313"/>
      <c r="F52" s="442"/>
      <c r="G52" s="442"/>
      <c r="H52" s="246"/>
      <c r="I52" s="246"/>
      <c r="J52" s="246"/>
      <c r="K52" s="247"/>
      <c r="L52" s="247"/>
      <c r="M52" s="247"/>
      <c r="N52" s="247"/>
      <c r="O52" s="247"/>
      <c r="P52" s="247"/>
      <c r="Q52" s="247"/>
      <c r="R52" s="246"/>
      <c r="S52" s="246"/>
      <c r="T52" s="246"/>
      <c r="U52" s="246"/>
      <c r="V52" s="246"/>
      <c r="W52" s="246"/>
      <c r="X52" s="246"/>
      <c r="Y52" s="246"/>
      <c r="Z52" s="246"/>
      <c r="AA52" s="247"/>
      <c r="AB52" s="247"/>
      <c r="AC52" s="247"/>
      <c r="AD52" s="247"/>
      <c r="AE52" s="247"/>
      <c r="AF52" s="247"/>
      <c r="AG52" s="247"/>
      <c r="AH52" s="247"/>
      <c r="AI52" s="247"/>
    </row>
    <row r="53" spans="2:35">
      <c r="B53" s="315"/>
      <c r="C53" s="315"/>
      <c r="D53" s="315"/>
      <c r="E53" s="315"/>
      <c r="F53" s="439"/>
      <c r="G53" s="439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</row>
    <row r="54" spans="2:35">
      <c r="B54" s="315"/>
      <c r="C54" s="315"/>
      <c r="D54" s="315"/>
      <c r="E54" s="315"/>
      <c r="F54" s="316"/>
      <c r="G54" s="316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</row>
    <row r="55" spans="2:35">
      <c r="B55" s="315"/>
      <c r="C55" s="315"/>
      <c r="D55" s="315"/>
      <c r="E55" s="315"/>
      <c r="F55" s="439"/>
      <c r="G55" s="439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</row>
    <row r="56" spans="2:35"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  <c r="AF56" s="247"/>
      <c r="AG56" s="247"/>
      <c r="AH56" s="247"/>
      <c r="AI56" s="247"/>
    </row>
    <row r="57" spans="2:35"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  <c r="AF57" s="247"/>
      <c r="AG57" s="247"/>
      <c r="AH57" s="247"/>
      <c r="AI57" s="247"/>
    </row>
    <row r="58" spans="2:35"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  <c r="AF58" s="247"/>
      <c r="AG58" s="247"/>
      <c r="AH58" s="247"/>
      <c r="AI58" s="247"/>
    </row>
    <row r="59" spans="2:35"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7"/>
      <c r="AH59" s="247"/>
      <c r="AI59" s="247"/>
    </row>
    <row r="60" spans="2:35"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7"/>
      <c r="AD60" s="247"/>
      <c r="AE60" s="247"/>
      <c r="AF60" s="247"/>
      <c r="AG60" s="247"/>
      <c r="AH60" s="247"/>
      <c r="AI60" s="247"/>
    </row>
    <row r="61" spans="2:35"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  <c r="AD61" s="247"/>
      <c r="AE61" s="247"/>
      <c r="AF61" s="247"/>
      <c r="AG61" s="247"/>
      <c r="AH61" s="247"/>
      <c r="AI61" s="247"/>
    </row>
    <row r="62" spans="2:35"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  <c r="AA62" s="247"/>
      <c r="AB62" s="247"/>
      <c r="AC62" s="247"/>
      <c r="AD62" s="247"/>
      <c r="AE62" s="247"/>
      <c r="AF62" s="247"/>
      <c r="AG62" s="247"/>
      <c r="AH62" s="247"/>
      <c r="AI62" s="247"/>
    </row>
    <row r="63" spans="2:35"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  <c r="AA63" s="247"/>
      <c r="AB63" s="247"/>
      <c r="AC63" s="247"/>
      <c r="AD63" s="247"/>
      <c r="AE63" s="247"/>
      <c r="AF63" s="247"/>
      <c r="AG63" s="247"/>
      <c r="AH63" s="247"/>
      <c r="AI63" s="247"/>
    </row>
    <row r="64" spans="2:35"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47"/>
      <c r="AC64" s="247"/>
      <c r="AD64" s="247"/>
      <c r="AE64" s="247"/>
      <c r="AF64" s="247"/>
      <c r="AG64" s="247"/>
      <c r="AH64" s="247"/>
      <c r="AI64" s="247"/>
    </row>
    <row r="65" spans="2:35"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  <c r="AD65" s="247"/>
      <c r="AE65" s="247"/>
      <c r="AF65" s="247"/>
      <c r="AG65" s="247"/>
      <c r="AH65" s="247"/>
      <c r="AI65" s="247"/>
    </row>
    <row r="66" spans="2:35"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  <c r="AD66" s="247"/>
      <c r="AE66" s="247"/>
      <c r="AF66" s="247"/>
      <c r="AG66" s="247"/>
      <c r="AH66" s="247"/>
      <c r="AI66" s="247"/>
    </row>
    <row r="67" spans="2:35"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  <c r="AD67" s="247"/>
      <c r="AE67" s="247"/>
      <c r="AF67" s="247"/>
      <c r="AG67" s="247"/>
      <c r="AH67" s="247"/>
      <c r="AI67" s="247"/>
    </row>
    <row r="68" spans="2:35"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  <c r="AD68" s="247"/>
      <c r="AE68" s="247"/>
      <c r="AF68" s="247"/>
      <c r="AG68" s="247"/>
      <c r="AH68" s="247"/>
      <c r="AI68" s="247"/>
    </row>
    <row r="69" spans="2:35"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</row>
    <row r="70" spans="2:35"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</row>
    <row r="71" spans="2:35"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</row>
    <row r="72" spans="2:35"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</row>
    <row r="73" spans="2:35"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</row>
    <row r="74" spans="2:35"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</row>
    <row r="75" spans="2:35"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2:35"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</row>
    <row r="77" spans="2:35"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</row>
    <row r="78" spans="2:35">
      <c r="B78" s="247"/>
      <c r="C78" s="247"/>
      <c r="D78" s="247"/>
      <c r="E78" s="247"/>
      <c r="F78" s="247"/>
      <c r="G78" s="247"/>
      <c r="H78" s="247"/>
      <c r="J78" s="247"/>
      <c r="K78" s="247"/>
      <c r="L78" s="247"/>
      <c r="M78" s="247"/>
      <c r="N78" s="247"/>
      <c r="O78" s="247"/>
      <c r="P78" s="247"/>
      <c r="Q78" s="247"/>
      <c r="R78" s="247"/>
    </row>
    <row r="79" spans="2:35">
      <c r="B79" s="247"/>
      <c r="C79" s="247"/>
      <c r="D79" s="247"/>
      <c r="E79" s="247"/>
      <c r="F79" s="247"/>
      <c r="G79" s="247"/>
      <c r="H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2:35">
      <c r="J80" s="247"/>
      <c r="R80" s="247"/>
    </row>
    <row r="81" spans="10:18">
      <c r="J81" s="247"/>
      <c r="R81" s="247"/>
    </row>
    <row r="82" spans="10:18">
      <c r="J82" s="247"/>
      <c r="R82" s="247"/>
    </row>
    <row r="83" spans="10:18">
      <c r="J83" s="247"/>
      <c r="R83" s="247"/>
    </row>
    <row r="84" spans="10:18">
      <c r="J84" s="247"/>
      <c r="R84" s="247"/>
    </row>
    <row r="85" spans="10:18">
      <c r="J85" s="247"/>
      <c r="R85" s="247"/>
    </row>
    <row r="86" spans="10:18">
      <c r="R86" s="247"/>
    </row>
    <row r="87" spans="10:18">
      <c r="R87" s="247"/>
    </row>
  </sheetData>
  <sheetProtection algorithmName="SHA-512" hashValue="ODTL+033igwAdr+3LnLUWzz+yhTSKw+y/JOwFLVy7JuTUQX/VG1iBWU498ZftNUlVjbo8s5QABX2FSTAItK28A==" saltValue="a6k8sAFQZ+cqKk45vMdwvQ==" spinCount="100000" sheet="1" objects="1" scenarios="1"/>
  <mergeCells count="81">
    <mergeCell ref="O24:Q24"/>
    <mergeCell ref="G19:H19"/>
    <mergeCell ref="G20:H20"/>
    <mergeCell ref="Z24:AA24"/>
    <mergeCell ref="C28:E28"/>
    <mergeCell ref="Z26:AB26"/>
    <mergeCell ref="S30:T30"/>
    <mergeCell ref="P25:Q25"/>
    <mergeCell ref="K27:L27"/>
    <mergeCell ref="G27:H27"/>
    <mergeCell ref="C23:E23"/>
    <mergeCell ref="C22:E22"/>
    <mergeCell ref="C12:E12"/>
    <mergeCell ref="C30:E30"/>
    <mergeCell ref="C24:E24"/>
    <mergeCell ref="C25:E25"/>
    <mergeCell ref="C26:E26"/>
    <mergeCell ref="C29:E29"/>
    <mergeCell ref="B2:H2"/>
    <mergeCell ref="O11:Q11"/>
    <mergeCell ref="O10:Q10"/>
    <mergeCell ref="Y2:AC2"/>
    <mergeCell ref="H7:H8"/>
    <mergeCell ref="F9:G9"/>
    <mergeCell ref="F10:G10"/>
    <mergeCell ref="D9:E9"/>
    <mergeCell ref="D10:E10"/>
    <mergeCell ref="D11:E11"/>
    <mergeCell ref="G17:H17"/>
    <mergeCell ref="O21:Q21"/>
    <mergeCell ref="AB12:AC12"/>
    <mergeCell ref="S2:W2"/>
    <mergeCell ref="C4:D4"/>
    <mergeCell ref="Y11:AC11"/>
    <mergeCell ref="C5:D5"/>
    <mergeCell ref="B7:C7"/>
    <mergeCell ref="F11:G11"/>
    <mergeCell ref="K2:Q2"/>
    <mergeCell ref="O4:Q4"/>
    <mergeCell ref="O6:Q6"/>
    <mergeCell ref="D7:D8"/>
    <mergeCell ref="F7:G8"/>
    <mergeCell ref="F12:G12"/>
    <mergeCell ref="O8:Q8"/>
    <mergeCell ref="F55:G55"/>
    <mergeCell ref="P28:Q28"/>
    <mergeCell ref="K28:L28"/>
    <mergeCell ref="K29:L29"/>
    <mergeCell ref="F53:G53"/>
    <mergeCell ref="F52:G52"/>
    <mergeCell ref="K30:L30"/>
    <mergeCell ref="G29:H29"/>
    <mergeCell ref="F30:G30"/>
    <mergeCell ref="G28:H28"/>
    <mergeCell ref="AB17:AC17"/>
    <mergeCell ref="AB18:AC18"/>
    <mergeCell ref="AB21:AC21"/>
    <mergeCell ref="O13:Q13"/>
    <mergeCell ref="AB19:AC19"/>
    <mergeCell ref="Y21:AA21"/>
    <mergeCell ref="AB13:AC13"/>
    <mergeCell ref="AB14:AC14"/>
    <mergeCell ref="AB15:AC15"/>
    <mergeCell ref="O15:Q15"/>
    <mergeCell ref="O14:Q14"/>
    <mergeCell ref="B15:B17"/>
    <mergeCell ref="B14:C14"/>
    <mergeCell ref="P27:Q27"/>
    <mergeCell ref="P26:Q26"/>
    <mergeCell ref="C27:E27"/>
    <mergeCell ref="G26:H26"/>
    <mergeCell ref="G25:H25"/>
    <mergeCell ref="G24:H24"/>
    <mergeCell ref="G23:H23"/>
    <mergeCell ref="G22:H22"/>
    <mergeCell ref="K23:M23"/>
    <mergeCell ref="O17:Q17"/>
    <mergeCell ref="O20:Q20"/>
    <mergeCell ref="O23:Q23"/>
    <mergeCell ref="O19:Q19"/>
    <mergeCell ref="G14:H14"/>
  </mergeCells>
  <phoneticPr fontId="3" type="noConversion"/>
  <printOptions gridLines="1"/>
  <pageMargins left="0.51181102362204722" right="0.51181102362204722" top="0.78740157480314965" bottom="0.78740157480314965" header="0.31496062992125984" footer="0.31496062992125984"/>
  <pageSetup paperSize="9" scale="90" orientation="portrait" r:id="rId1"/>
  <ignoredErrors>
    <ignoredError sqref="Y33 Z32 AB32" evalErro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88"/>
  <sheetViews>
    <sheetView showGridLines="0" showRuler="0" zoomScaleNormal="100" workbookViewId="0">
      <selection activeCell="O37" sqref="O37"/>
    </sheetView>
  </sheetViews>
  <sheetFormatPr defaultRowHeight="14.25"/>
  <cols>
    <col min="1" max="1" width="0.53125" customWidth="1"/>
    <col min="2" max="2" width="11" customWidth="1"/>
    <col min="3" max="3" width="9.6640625" customWidth="1"/>
    <col min="4" max="4" width="8.86328125" customWidth="1"/>
    <col min="5" max="5" width="0.86328125" customWidth="1"/>
    <col min="6" max="6" width="7.86328125" customWidth="1"/>
    <col min="7" max="7" width="7.06640625" customWidth="1"/>
    <col min="8" max="8" width="8.59765625" customWidth="1"/>
    <col min="9" max="9" width="0" hidden="1" customWidth="1"/>
    <col min="10" max="10" width="0.86328125" customWidth="1"/>
    <col min="11" max="11" width="9.1328125" customWidth="1"/>
    <col min="12" max="12" width="9.53125" customWidth="1"/>
    <col min="13" max="13" width="6.53125" customWidth="1"/>
    <col min="14" max="14" width="1.9296875" customWidth="1"/>
    <col min="15" max="15" width="17.06640625" customWidth="1"/>
    <col min="16" max="16" width="0.86328125" customWidth="1"/>
    <col min="17" max="17" width="8.46484375" customWidth="1"/>
    <col min="18" max="18" width="6.53125" hidden="1" customWidth="1"/>
    <col min="19" max="19" width="5.53125" bestFit="1" customWidth="1"/>
    <col min="20" max="20" width="9.19921875" bestFit="1" customWidth="1"/>
    <col min="21" max="21" width="6.19921875" customWidth="1"/>
    <col min="22" max="22" width="9.19921875" bestFit="1" customWidth="1"/>
    <col min="23" max="23" width="0.86328125" customWidth="1"/>
    <col min="24" max="24" width="8.53125" customWidth="1"/>
    <col min="25" max="25" width="7.6640625" customWidth="1"/>
    <col min="26" max="26" width="8.1328125" customWidth="1"/>
    <col min="27" max="27" width="7.6640625" customWidth="1"/>
    <col min="28" max="28" width="8.53125" customWidth="1"/>
    <col min="29" max="29" width="9.6640625" customWidth="1"/>
  </cols>
  <sheetData>
    <row r="1" spans="2:31" ht="4.5" customHeight="1" thickBot="1"/>
    <row r="2" spans="2:31" ht="12.6" customHeight="1" thickBot="1">
      <c r="B2" s="405" t="s">
        <v>97</v>
      </c>
      <c r="C2" s="406"/>
      <c r="D2" s="406"/>
      <c r="E2" s="406"/>
      <c r="F2" s="406"/>
      <c r="G2" s="406"/>
      <c r="H2" s="398"/>
      <c r="I2" s="255"/>
      <c r="J2" s="120"/>
      <c r="K2" s="405" t="s">
        <v>1</v>
      </c>
      <c r="L2" s="406"/>
      <c r="M2" s="406"/>
      <c r="N2" s="406"/>
      <c r="O2" s="398"/>
      <c r="Q2" s="405" t="s">
        <v>2</v>
      </c>
      <c r="R2" s="406"/>
      <c r="S2" s="406"/>
      <c r="T2" s="406"/>
      <c r="U2" s="406"/>
      <c r="V2" s="398"/>
      <c r="X2" s="405" t="s">
        <v>3</v>
      </c>
      <c r="Y2" s="406"/>
      <c r="Z2" s="406"/>
      <c r="AA2" s="406"/>
      <c r="AB2" s="398"/>
    </row>
    <row r="3" spans="2:31" ht="12.6" customHeight="1" thickBot="1">
      <c r="B3" s="101"/>
      <c r="C3" s="102"/>
      <c r="D3" s="102"/>
      <c r="E3" s="102"/>
      <c r="F3" s="102"/>
      <c r="G3" s="102"/>
      <c r="H3" s="103"/>
      <c r="I3" s="120"/>
      <c r="J3" s="120"/>
      <c r="K3" s="101"/>
      <c r="L3" s="102"/>
      <c r="M3" s="102"/>
      <c r="N3" s="102"/>
      <c r="O3" s="103"/>
      <c r="Q3" s="153" t="s">
        <v>98</v>
      </c>
      <c r="R3" s="154" t="s">
        <v>131</v>
      </c>
      <c r="S3" s="155" t="s">
        <v>6</v>
      </c>
      <c r="T3" s="155" t="s">
        <v>7</v>
      </c>
      <c r="U3" s="155" t="s">
        <v>8</v>
      </c>
      <c r="V3" s="156" t="s">
        <v>9</v>
      </c>
      <c r="X3" s="157" t="s">
        <v>98</v>
      </c>
      <c r="Y3" s="158" t="s">
        <v>6</v>
      </c>
      <c r="Z3" s="158" t="s">
        <v>7</v>
      </c>
      <c r="AA3" s="158" t="s">
        <v>8</v>
      </c>
      <c r="AB3" s="159" t="s">
        <v>9</v>
      </c>
      <c r="AC3" s="246"/>
    </row>
    <row r="4" spans="2:31" ht="12.6" customHeight="1" thickBot="1">
      <c r="B4" s="104" t="s">
        <v>15</v>
      </c>
      <c r="C4" s="458" t="str">
        <f>Capa!C13</f>
        <v>HG ANTWERP</v>
      </c>
      <c r="D4" s="458"/>
      <c r="E4" s="105"/>
      <c r="F4" s="106"/>
      <c r="G4" s="107" t="s">
        <v>184</v>
      </c>
      <c r="H4" s="108" t="s">
        <v>185</v>
      </c>
      <c r="I4" s="120"/>
      <c r="J4" s="120"/>
      <c r="K4" s="104" t="s">
        <v>12</v>
      </c>
      <c r="L4" s="734"/>
      <c r="M4" s="734"/>
      <c r="N4" s="734"/>
      <c r="O4" s="187">
        <f>G14*F25*G25*100/D18</f>
        <v>14.773652799603328</v>
      </c>
      <c r="Q4" s="58" t="str">
        <f>Inicial!Q4</f>
        <v>FPT</v>
      </c>
      <c r="R4" s="58">
        <f>Inicial!R4</f>
        <v>10</v>
      </c>
      <c r="S4" s="71">
        <v>0.12</v>
      </c>
      <c r="T4" s="72">
        <v>179.45</v>
      </c>
      <c r="U4" s="11">
        <v>1.0249999999999999</v>
      </c>
      <c r="V4" s="732">
        <f t="shared" ref="V4:V23" si="0">T4*U4</f>
        <v>183.93624999999997</v>
      </c>
      <c r="X4" s="160" t="str">
        <f>Inicial!X4</f>
        <v>FW P</v>
      </c>
      <c r="Y4" s="10" t="s">
        <v>151</v>
      </c>
      <c r="Z4" s="10">
        <v>115</v>
      </c>
      <c r="AA4" s="328">
        <v>1</v>
      </c>
      <c r="AB4" s="163">
        <f>Z4*AA4</f>
        <v>115</v>
      </c>
      <c r="AD4" s="247"/>
      <c r="AE4" s="247"/>
    </row>
    <row r="5" spans="2:31" ht="12.6" customHeight="1" thickBot="1">
      <c r="B5" s="104" t="s">
        <v>18</v>
      </c>
      <c r="C5" s="584">
        <v>46172</v>
      </c>
      <c r="D5" s="585"/>
      <c r="E5" s="105"/>
      <c r="F5" s="106" t="s">
        <v>19</v>
      </c>
      <c r="G5" s="179">
        <v>0.60416666666666663</v>
      </c>
      <c r="H5" s="180">
        <v>0.66666666666666663</v>
      </c>
      <c r="I5" s="120"/>
      <c r="J5" s="120"/>
      <c r="K5" s="104"/>
      <c r="L5" s="734"/>
      <c r="M5" s="734"/>
      <c r="N5" s="734"/>
      <c r="O5" s="109"/>
      <c r="Q5" s="58" t="str">
        <f>Inicial!Q5</f>
        <v>1 WBT P</v>
      </c>
      <c r="R5" s="58">
        <f>Inicial!R5</f>
        <v>0</v>
      </c>
      <c r="S5" s="71">
        <v>0</v>
      </c>
      <c r="T5" s="72">
        <v>0</v>
      </c>
      <c r="U5" s="11">
        <f t="shared" ref="U5:U13" si="1">U4</f>
        <v>1.0249999999999999</v>
      </c>
      <c r="V5" s="732">
        <f t="shared" si="0"/>
        <v>0</v>
      </c>
      <c r="X5" s="161" t="str">
        <f>Inicial!X5</f>
        <v>FW S</v>
      </c>
      <c r="Y5" s="11" t="s">
        <v>151</v>
      </c>
      <c r="Z5" s="11">
        <v>0</v>
      </c>
      <c r="AA5" s="324">
        <v>1</v>
      </c>
      <c r="AB5" s="164">
        <f>Z5*AA5</f>
        <v>0</v>
      </c>
      <c r="AD5" s="247"/>
      <c r="AE5" s="247"/>
    </row>
    <row r="6" spans="2:31" ht="12.6" customHeight="1" thickBot="1">
      <c r="B6" s="104"/>
      <c r="C6" s="106"/>
      <c r="D6" s="106"/>
      <c r="E6" s="106"/>
      <c r="F6" s="106"/>
      <c r="G6" s="106"/>
      <c r="H6" s="109"/>
      <c r="I6" s="120"/>
      <c r="J6" s="120"/>
      <c r="K6" s="104" t="s">
        <v>20</v>
      </c>
      <c r="L6" s="734"/>
      <c r="M6" s="734"/>
      <c r="N6" s="734"/>
      <c r="O6" s="187">
        <f>G14*G14*F30*50/D18</f>
        <v>2.5859594153188687E-2</v>
      </c>
      <c r="Q6" s="58" t="str">
        <f>Inicial!Q6</f>
        <v>1 WBT S</v>
      </c>
      <c r="R6" s="58">
        <f>Inicial!R6</f>
        <v>0</v>
      </c>
      <c r="S6" s="71">
        <v>0.02</v>
      </c>
      <c r="T6" s="72">
        <v>0</v>
      </c>
      <c r="U6" s="11">
        <f t="shared" si="1"/>
        <v>1.0249999999999999</v>
      </c>
      <c r="V6" s="732">
        <f t="shared" si="0"/>
        <v>0</v>
      </c>
      <c r="X6" s="161" t="str">
        <f>Inicial!X6</f>
        <v>DW</v>
      </c>
      <c r="Y6" s="72" t="s">
        <v>151</v>
      </c>
      <c r="Z6" s="72">
        <v>0</v>
      </c>
      <c r="AA6" s="324">
        <v>1</v>
      </c>
      <c r="AB6" s="164">
        <f>Z6*AA6</f>
        <v>0</v>
      </c>
      <c r="AC6" s="198"/>
      <c r="AD6" s="247"/>
      <c r="AE6" s="247"/>
    </row>
    <row r="7" spans="2:31" ht="12.6" customHeight="1" thickBot="1">
      <c r="B7" s="391" t="s">
        <v>23</v>
      </c>
      <c r="C7" s="461"/>
      <c r="D7" s="461" t="s">
        <v>24</v>
      </c>
      <c r="E7" s="111"/>
      <c r="F7" s="468" t="s">
        <v>25</v>
      </c>
      <c r="G7" s="468"/>
      <c r="H7" s="479" t="s">
        <v>26</v>
      </c>
      <c r="I7" s="302"/>
      <c r="J7" s="120"/>
      <c r="K7" s="104"/>
      <c r="L7" s="734"/>
      <c r="M7" s="734"/>
      <c r="N7" s="734"/>
      <c r="O7" s="109"/>
      <c r="Q7" s="58" t="str">
        <f>Inicial!Q7</f>
        <v>2 WBT P</v>
      </c>
      <c r="R7" s="58">
        <f>Inicial!R7</f>
        <v>0</v>
      </c>
      <c r="S7" s="71">
        <v>0.02</v>
      </c>
      <c r="T7" s="72">
        <v>0</v>
      </c>
      <c r="U7" s="11">
        <f t="shared" si="1"/>
        <v>1.0249999999999999</v>
      </c>
      <c r="V7" s="732">
        <f t="shared" si="0"/>
        <v>0</v>
      </c>
      <c r="X7" s="161"/>
      <c r="Y7" s="72"/>
      <c r="Z7" s="72"/>
      <c r="AA7" s="324"/>
      <c r="AB7" s="164"/>
      <c r="AD7" s="247"/>
      <c r="AE7" s="247"/>
    </row>
    <row r="8" spans="2:31" ht="12.6" customHeight="1" thickBot="1">
      <c r="B8" s="112" t="s">
        <v>28</v>
      </c>
      <c r="C8" s="113" t="s">
        <v>29</v>
      </c>
      <c r="D8" s="467"/>
      <c r="E8" s="113"/>
      <c r="F8" s="469"/>
      <c r="G8" s="469"/>
      <c r="H8" s="480"/>
      <c r="I8" s="302"/>
      <c r="J8" s="120"/>
      <c r="K8" s="104" t="s">
        <v>27</v>
      </c>
      <c r="L8" s="734"/>
      <c r="M8" s="734"/>
      <c r="N8" s="734"/>
      <c r="O8" s="735">
        <f>C25+(O4+O6)</f>
        <v>73933.596211560376</v>
      </c>
      <c r="Q8" s="58" t="str">
        <f>Inicial!Q8</f>
        <v>2 WBT S</v>
      </c>
      <c r="R8" s="58">
        <f>Inicial!R8</f>
        <v>0</v>
      </c>
      <c r="S8" s="71">
        <v>0.01</v>
      </c>
      <c r="T8" s="72">
        <v>0</v>
      </c>
      <c r="U8" s="11">
        <f t="shared" si="1"/>
        <v>1.0249999999999999</v>
      </c>
      <c r="V8" s="732">
        <f t="shared" si="0"/>
        <v>0</v>
      </c>
      <c r="X8" s="162"/>
      <c r="Y8" s="73"/>
      <c r="Z8" s="73"/>
      <c r="AA8" s="325"/>
      <c r="AB8" s="165"/>
      <c r="AD8" s="247"/>
      <c r="AE8" s="247"/>
    </row>
    <row r="9" spans="2:31" ht="12.6" customHeight="1" thickBot="1">
      <c r="B9" s="2">
        <v>13.19</v>
      </c>
      <c r="C9" s="10">
        <v>13.16</v>
      </c>
      <c r="D9" s="485">
        <f>AVERAGE(B9:C9)</f>
        <v>13.175000000000001</v>
      </c>
      <c r="E9" s="486"/>
      <c r="F9" s="481">
        <f>D15*D14/D20</f>
        <v>1.586415382101422E-3</v>
      </c>
      <c r="G9" s="482"/>
      <c r="H9" s="114">
        <f>D9-F9-M27</f>
        <v>13.173413584617899</v>
      </c>
      <c r="I9" s="285"/>
      <c r="J9" s="120"/>
      <c r="K9" s="104"/>
      <c r="L9" s="734"/>
      <c r="M9" s="734"/>
      <c r="N9" s="734"/>
      <c r="O9" s="736"/>
      <c r="Q9" s="58" t="str">
        <f>Inicial!Q9</f>
        <v>3 WBT P</v>
      </c>
      <c r="R9" s="58">
        <f>Inicial!R9</f>
        <v>0</v>
      </c>
      <c r="S9" s="71">
        <v>0.06</v>
      </c>
      <c r="T9" s="72">
        <v>0</v>
      </c>
      <c r="U9" s="11">
        <f t="shared" si="1"/>
        <v>1.0249999999999999</v>
      </c>
      <c r="V9" s="732">
        <f t="shared" si="0"/>
        <v>0</v>
      </c>
      <c r="AB9" s="166">
        <f>SUM(AB4:AB8)</f>
        <v>115</v>
      </c>
      <c r="AD9" s="247"/>
      <c r="AE9" s="247"/>
    </row>
    <row r="10" spans="2:31" ht="12.6" customHeight="1" thickBot="1">
      <c r="B10" s="3">
        <v>13.29</v>
      </c>
      <c r="C10" s="11">
        <v>13.27</v>
      </c>
      <c r="D10" s="487">
        <f>AVERAGE(B10:C10)</f>
        <v>13.28</v>
      </c>
      <c r="E10" s="488"/>
      <c r="F10" s="483">
        <f>D16*D14/D20</f>
        <v>3.6766708426384884E-4</v>
      </c>
      <c r="G10" s="484"/>
      <c r="H10" s="115">
        <f>D10-F10-M28</f>
        <v>13.279632332915735</v>
      </c>
      <c r="I10" s="285"/>
      <c r="J10" s="120"/>
      <c r="K10" s="104"/>
      <c r="L10" s="734"/>
      <c r="M10" s="734"/>
      <c r="N10" s="734"/>
      <c r="O10" s="737">
        <v>1.016</v>
      </c>
      <c r="Q10" s="58" t="str">
        <f>Inicial!Q10</f>
        <v>3 WBT S</v>
      </c>
      <c r="R10" s="58">
        <f>Inicial!R10</f>
        <v>0</v>
      </c>
      <c r="S10" s="71">
        <v>0</v>
      </c>
      <c r="T10" s="72">
        <v>0</v>
      </c>
      <c r="U10" s="11">
        <f t="shared" si="1"/>
        <v>1.0249999999999999</v>
      </c>
      <c r="V10" s="732">
        <f t="shared" si="0"/>
        <v>0</v>
      </c>
      <c r="AD10" s="247"/>
      <c r="AE10" s="247"/>
    </row>
    <row r="11" spans="2:31" ht="12.6" customHeight="1" thickBot="1">
      <c r="B11" s="4">
        <v>13.31</v>
      </c>
      <c r="C11" s="35">
        <v>13.29</v>
      </c>
      <c r="D11" s="489">
        <f>AVERAGE(B11:C11)</f>
        <v>13.3</v>
      </c>
      <c r="E11" s="490"/>
      <c r="F11" s="462">
        <f>D17*D14/D20</f>
        <v>6.1822539353995325E-3</v>
      </c>
      <c r="G11" s="463"/>
      <c r="H11" s="116">
        <f>D11+F11-M29</f>
        <v>13.3061822539354</v>
      </c>
      <c r="I11" s="285"/>
      <c r="J11" s="120"/>
      <c r="K11" s="104" t="s">
        <v>36</v>
      </c>
      <c r="L11" s="734"/>
      <c r="M11" s="734"/>
      <c r="N11" s="734"/>
      <c r="O11" s="738">
        <f>O8/1.025*O10</f>
        <v>73284.423171653994</v>
      </c>
      <c r="Q11" s="58" t="str">
        <f>Inicial!Q11</f>
        <v xml:space="preserve">4 WBT P </v>
      </c>
      <c r="R11" s="58">
        <f>Inicial!R11</f>
        <v>0</v>
      </c>
      <c r="S11" s="71">
        <v>0.02</v>
      </c>
      <c r="T11" s="72">
        <v>0</v>
      </c>
      <c r="U11" s="11">
        <f t="shared" si="1"/>
        <v>1.0249999999999999</v>
      </c>
      <c r="V11" s="732">
        <f t="shared" si="0"/>
        <v>0</v>
      </c>
      <c r="X11" s="405" t="s">
        <v>32</v>
      </c>
      <c r="Y11" s="406"/>
      <c r="Z11" s="406"/>
      <c r="AA11" s="461"/>
      <c r="AB11" s="392"/>
      <c r="AD11" s="247"/>
      <c r="AE11" s="247"/>
    </row>
    <row r="12" spans="2:31" ht="12.6" customHeight="1" thickBot="1">
      <c r="B12" s="117" t="s">
        <v>34</v>
      </c>
      <c r="C12" s="492">
        <f>AVERAGE(H11,H9)</f>
        <v>13.239797919276651</v>
      </c>
      <c r="D12" s="493"/>
      <c r="E12" s="118"/>
      <c r="F12" s="405" t="s">
        <v>35</v>
      </c>
      <c r="G12" s="398"/>
      <c r="H12" s="119">
        <f>(C12+H10)/2</f>
        <v>13.259715126096193</v>
      </c>
      <c r="I12" s="294"/>
      <c r="J12" s="120"/>
      <c r="K12" s="167"/>
      <c r="L12" s="739"/>
      <c r="M12" s="739"/>
      <c r="N12" s="739"/>
      <c r="O12" s="171"/>
      <c r="Q12" s="58" t="str">
        <f>Inicial!Q12</f>
        <v xml:space="preserve">4 WBT S </v>
      </c>
      <c r="R12" s="58">
        <f>Inicial!R12</f>
        <v>0</v>
      </c>
      <c r="S12" s="71">
        <v>0</v>
      </c>
      <c r="T12" s="72">
        <v>0</v>
      </c>
      <c r="U12" s="11">
        <f t="shared" si="1"/>
        <v>1.0249999999999999</v>
      </c>
      <c r="V12" s="732">
        <f t="shared" si="0"/>
        <v>0</v>
      </c>
      <c r="X12" s="101" t="s">
        <v>33</v>
      </c>
      <c r="Y12" s="102"/>
      <c r="Z12" s="102"/>
      <c r="AA12" s="572">
        <v>748.40200000000004</v>
      </c>
      <c r="AB12" s="573"/>
      <c r="AD12" s="247"/>
      <c r="AE12" s="247"/>
    </row>
    <row r="13" spans="2:31" ht="12.6" customHeight="1" thickBot="1">
      <c r="B13" s="120"/>
      <c r="C13" s="120"/>
      <c r="D13" s="120"/>
      <c r="E13" s="120"/>
      <c r="F13" s="120"/>
      <c r="G13" s="120"/>
      <c r="H13" s="121"/>
      <c r="I13" s="120"/>
      <c r="J13" s="120"/>
      <c r="K13" s="104" t="s">
        <v>45</v>
      </c>
      <c r="L13" s="734"/>
      <c r="M13" s="739"/>
      <c r="N13" s="739"/>
      <c r="O13" s="740">
        <f>AA21</f>
        <v>1274.1402499999999</v>
      </c>
      <c r="Q13" s="58" t="str">
        <f>Inicial!Q13</f>
        <v>5 WBT P</v>
      </c>
      <c r="R13" s="58">
        <f>Inicial!R13</f>
        <v>0</v>
      </c>
      <c r="S13" s="71">
        <v>0.01</v>
      </c>
      <c r="T13" s="72">
        <v>0</v>
      </c>
      <c r="U13" s="11">
        <f t="shared" si="1"/>
        <v>1.0249999999999999</v>
      </c>
      <c r="V13" s="732">
        <f t="shared" si="0"/>
        <v>0</v>
      </c>
      <c r="X13" s="104" t="s">
        <v>37</v>
      </c>
      <c r="Y13" s="106"/>
      <c r="Z13" s="106"/>
      <c r="AA13" s="588">
        <v>226.80199999999999</v>
      </c>
      <c r="AB13" s="589"/>
      <c r="AD13" s="247"/>
      <c r="AE13" s="247"/>
    </row>
    <row r="14" spans="2:31" ht="12.6" customHeight="1" thickBot="1">
      <c r="B14" s="405" t="s">
        <v>84</v>
      </c>
      <c r="C14" s="398"/>
      <c r="D14" s="127">
        <f>D11-D9</f>
        <v>0.125</v>
      </c>
      <c r="E14" s="338"/>
      <c r="F14" s="117" t="s">
        <v>40</v>
      </c>
      <c r="G14" s="431">
        <f>H11-H9</f>
        <v>0.13276866931750142</v>
      </c>
      <c r="H14" s="432"/>
      <c r="I14" s="255"/>
      <c r="J14" s="120"/>
      <c r="K14" s="104" t="s">
        <v>47</v>
      </c>
      <c r="L14" s="734"/>
      <c r="M14" s="739"/>
      <c r="N14" s="739"/>
      <c r="O14" s="741">
        <f>O11-O13</f>
        <v>72010.282921653998</v>
      </c>
      <c r="Q14" s="58" t="str">
        <f>Inicial!Q14</f>
        <v>5 WBT S</v>
      </c>
      <c r="R14" s="58">
        <f>Inicial!R14</f>
        <v>0</v>
      </c>
      <c r="S14" s="71">
        <v>0</v>
      </c>
      <c r="T14" s="72">
        <v>0</v>
      </c>
      <c r="U14" s="11">
        <f t="shared" ref="U14:U29" si="2">U13</f>
        <v>1.0249999999999999</v>
      </c>
      <c r="V14" s="732">
        <f t="shared" si="0"/>
        <v>0</v>
      </c>
      <c r="X14" s="104" t="s">
        <v>38</v>
      </c>
      <c r="Y14" s="106"/>
      <c r="Z14" s="106"/>
      <c r="AA14" s="576">
        <v>0</v>
      </c>
      <c r="AB14" s="577"/>
      <c r="AD14" s="247"/>
      <c r="AE14" s="247"/>
    </row>
    <row r="15" spans="2:31" ht="12.6" customHeight="1" thickBot="1">
      <c r="B15" s="388" t="s">
        <v>42</v>
      </c>
      <c r="C15" s="110" t="s">
        <v>43</v>
      </c>
      <c r="D15" s="5">
        <v>2.33</v>
      </c>
      <c r="E15" s="261"/>
      <c r="I15" s="120"/>
      <c r="J15" s="120"/>
      <c r="K15" s="104" t="s">
        <v>50</v>
      </c>
      <c r="L15" s="734"/>
      <c r="M15" s="739"/>
      <c r="N15" s="739"/>
      <c r="O15" s="742">
        <f>Inicial!N18</f>
        <v>11918</v>
      </c>
      <c r="Q15" s="58" t="str">
        <f>Inicial!Q15</f>
        <v>1 TST P</v>
      </c>
      <c r="R15" s="58">
        <f>Inicial!R15</f>
        <v>0</v>
      </c>
      <c r="S15" s="71">
        <v>0</v>
      </c>
      <c r="T15" s="72">
        <v>1</v>
      </c>
      <c r="U15" s="11">
        <f t="shared" si="2"/>
        <v>1.0249999999999999</v>
      </c>
      <c r="V15" s="732">
        <v>0</v>
      </c>
      <c r="X15" s="104" t="s">
        <v>41</v>
      </c>
      <c r="Y15" s="106"/>
      <c r="Z15" s="106"/>
      <c r="AA15" s="574">
        <v>0</v>
      </c>
      <c r="AB15" s="575"/>
      <c r="AD15" s="247"/>
      <c r="AE15" s="247"/>
    </row>
    <row r="16" spans="2:31" ht="12.6" customHeight="1" thickBot="1">
      <c r="B16" s="389"/>
      <c r="C16" s="122" t="s">
        <v>46</v>
      </c>
      <c r="D16" s="6">
        <v>0.54</v>
      </c>
      <c r="E16" s="261"/>
      <c r="F16" s="100" t="s">
        <v>44</v>
      </c>
      <c r="G16" s="289">
        <f>(H10-C12)*100</f>
        <v>3.9834413639084687</v>
      </c>
      <c r="H16" s="290" t="s">
        <v>226</v>
      </c>
      <c r="I16" s="287"/>
      <c r="J16" s="120"/>
      <c r="K16" s="167"/>
      <c r="L16" s="739"/>
      <c r="M16" s="739"/>
      <c r="N16" s="739"/>
      <c r="O16" s="171"/>
      <c r="Q16" s="58" t="str">
        <f>Inicial!Q16</f>
        <v>1 TST S</v>
      </c>
      <c r="R16" s="58">
        <f>Inicial!R16</f>
        <v>0</v>
      </c>
      <c r="S16" s="71">
        <v>0</v>
      </c>
      <c r="T16" s="72">
        <v>0</v>
      </c>
      <c r="U16" s="11">
        <f t="shared" si="2"/>
        <v>1.0249999999999999</v>
      </c>
      <c r="V16" s="732">
        <f t="shared" si="0"/>
        <v>0</v>
      </c>
      <c r="X16" s="167"/>
      <c r="Y16" s="151"/>
      <c r="Z16" s="151"/>
      <c r="AA16" s="151"/>
      <c r="AB16" s="171"/>
      <c r="AD16" s="247"/>
      <c r="AE16" s="247"/>
    </row>
    <row r="17" spans="2:31" ht="12.6" customHeight="1" thickBot="1">
      <c r="B17" s="390"/>
      <c r="C17" s="123" t="s">
        <v>49</v>
      </c>
      <c r="D17" s="7">
        <v>9.08</v>
      </c>
      <c r="E17" s="261"/>
      <c r="F17" s="128"/>
      <c r="G17" s="451" t="str">
        <f>IF(G16&lt;0,"Hogging","Sagging")</f>
        <v>Sagging</v>
      </c>
      <c r="H17" s="452"/>
      <c r="I17" s="287"/>
      <c r="J17" s="120"/>
      <c r="K17" s="104" t="str">
        <f>IF(Capa!L4="Loading","Loaded","Discharged")</f>
        <v>Loaded</v>
      </c>
      <c r="L17" s="734"/>
      <c r="M17" s="739"/>
      <c r="N17" s="739"/>
      <c r="O17" s="743">
        <f>Inicial!N15</f>
        <v>59828.934999999998</v>
      </c>
      <c r="Q17" s="58" t="str">
        <f>Inicial!Q17</f>
        <v>2 TST P</v>
      </c>
      <c r="R17" s="58">
        <f>Inicial!R17</f>
        <v>0</v>
      </c>
      <c r="S17" s="71">
        <v>0</v>
      </c>
      <c r="T17" s="72">
        <v>0</v>
      </c>
      <c r="U17" s="11">
        <f t="shared" si="2"/>
        <v>1.0249999999999999</v>
      </c>
      <c r="V17" s="732">
        <f t="shared" si="0"/>
        <v>0</v>
      </c>
      <c r="X17" s="104" t="s">
        <v>48</v>
      </c>
      <c r="Y17" s="106"/>
      <c r="Z17" s="106"/>
      <c r="AA17" s="578">
        <f>AA12+AA13+AA14+AA15</f>
        <v>975.20400000000006</v>
      </c>
      <c r="AB17" s="579"/>
      <c r="AD17" s="247"/>
      <c r="AE17" s="247"/>
    </row>
    <row r="18" spans="2:31" ht="12.6" customHeight="1" thickBot="1">
      <c r="C18" s="124" t="s">
        <v>52</v>
      </c>
      <c r="D18" s="131">
        <f>Inicial!D19</f>
        <v>195</v>
      </c>
      <c r="E18" s="337"/>
      <c r="F18" s="120"/>
      <c r="G18" s="120"/>
      <c r="H18" s="120"/>
      <c r="I18" s="120"/>
      <c r="J18" s="120"/>
      <c r="K18" s="167"/>
      <c r="L18" s="739"/>
      <c r="M18" s="739"/>
      <c r="N18" s="739"/>
      <c r="O18" s="171"/>
      <c r="Q18" s="58" t="str">
        <f>Inicial!Q18</f>
        <v>2 TST S</v>
      </c>
      <c r="R18" s="58">
        <f>Inicial!R18</f>
        <v>0</v>
      </c>
      <c r="S18" s="71">
        <v>0</v>
      </c>
      <c r="T18" s="72">
        <v>0</v>
      </c>
      <c r="U18" s="11">
        <f t="shared" si="2"/>
        <v>1.0249999999999999</v>
      </c>
      <c r="V18" s="732">
        <f t="shared" si="0"/>
        <v>0</v>
      </c>
      <c r="X18" s="168" t="s">
        <v>99</v>
      </c>
      <c r="Y18" s="106"/>
      <c r="Z18" s="106"/>
      <c r="AA18" s="418">
        <f>V30</f>
        <v>183.93624999999997</v>
      </c>
      <c r="AB18" s="419"/>
      <c r="AC18" s="246"/>
      <c r="AD18" s="247"/>
      <c r="AE18" s="247"/>
    </row>
    <row r="19" spans="2:31" ht="12.6" customHeight="1" thickBot="1">
      <c r="C19" s="125" t="s">
        <v>57</v>
      </c>
      <c r="D19" s="132">
        <f>Inicial!D21</f>
        <v>32.24</v>
      </c>
      <c r="E19" s="336"/>
      <c r="F19" s="591" t="s">
        <v>56</v>
      </c>
      <c r="G19" s="592"/>
      <c r="H19" s="75">
        <v>0.2</v>
      </c>
      <c r="I19" s="277"/>
      <c r="J19" s="120"/>
      <c r="K19" s="104" t="s">
        <v>86</v>
      </c>
      <c r="L19" s="734"/>
      <c r="M19" s="739"/>
      <c r="N19" s="739"/>
      <c r="O19" s="744">
        <f>IF(Capa!L4="Discharging",Inicial!N17-O14,O14-Inicial!N17)</f>
        <v>59852.754132730202</v>
      </c>
      <c r="Q19" s="58" t="str">
        <f>Inicial!Q19</f>
        <v>3 TST P</v>
      </c>
      <c r="R19" s="58">
        <f>Inicial!R19</f>
        <v>0</v>
      </c>
      <c r="S19" s="71">
        <v>0.03</v>
      </c>
      <c r="T19" s="72">
        <v>0</v>
      </c>
      <c r="U19" s="11">
        <f t="shared" si="2"/>
        <v>1.0249999999999999</v>
      </c>
      <c r="V19" s="732">
        <f t="shared" si="0"/>
        <v>0</v>
      </c>
      <c r="X19" s="168" t="s">
        <v>54</v>
      </c>
      <c r="Y19" s="106"/>
      <c r="Z19" s="106"/>
      <c r="AA19" s="571">
        <f>AB9</f>
        <v>115</v>
      </c>
      <c r="AB19" s="446"/>
      <c r="AC19" s="246"/>
      <c r="AD19" s="247"/>
      <c r="AE19" s="247"/>
    </row>
    <row r="20" spans="2:31" ht="12.6" customHeight="1" thickBot="1">
      <c r="C20" s="126" t="s">
        <v>55</v>
      </c>
      <c r="D20" s="133">
        <f>D18-D17-D15</f>
        <v>183.58999999999997</v>
      </c>
      <c r="E20" s="337"/>
      <c r="F20" s="499" t="s">
        <v>58</v>
      </c>
      <c r="G20" s="500"/>
      <c r="H20" s="76">
        <v>6</v>
      </c>
      <c r="I20" s="272"/>
      <c r="J20" s="120"/>
      <c r="K20" s="104" t="s">
        <v>87</v>
      </c>
      <c r="L20" s="734"/>
      <c r="M20" s="739"/>
      <c r="N20" s="739"/>
      <c r="O20" s="745">
        <f>O19-O17</f>
        <v>23.819132730204728</v>
      </c>
      <c r="Q20" s="58" t="str">
        <f>Inicial!Q20</f>
        <v>3 TST S</v>
      </c>
      <c r="R20" s="58">
        <f>Inicial!R20</f>
        <v>0</v>
      </c>
      <c r="S20" s="71">
        <v>0.03</v>
      </c>
      <c r="T20" s="72">
        <v>0</v>
      </c>
      <c r="U20" s="11">
        <f t="shared" si="2"/>
        <v>1.0249999999999999</v>
      </c>
      <c r="V20" s="732">
        <f t="shared" si="0"/>
        <v>0</v>
      </c>
      <c r="X20" s="168"/>
      <c r="Y20" s="106"/>
      <c r="Z20" s="106"/>
      <c r="AA20" s="172"/>
      <c r="AB20" s="173"/>
      <c r="AD20" s="247"/>
      <c r="AE20" s="247"/>
    </row>
    <row r="21" spans="2:31" ht="12.6" customHeight="1" thickBot="1">
      <c r="B21" s="120"/>
      <c r="C21" s="270"/>
      <c r="D21" s="270"/>
      <c r="E21" s="120"/>
      <c r="F21" s="120"/>
      <c r="G21" s="120"/>
      <c r="H21" s="120"/>
      <c r="I21" s="106"/>
      <c r="J21" s="120"/>
      <c r="K21" s="195" t="s">
        <v>88</v>
      </c>
      <c r="L21" s="170"/>
      <c r="M21" s="196"/>
      <c r="N21" s="196"/>
      <c r="O21" s="746">
        <f>O20/O17*100</f>
        <v>3.9812062056937388E-2</v>
      </c>
      <c r="Q21" s="58" t="str">
        <f>Inicial!Q21</f>
        <v>4 TST P</v>
      </c>
      <c r="R21" s="58">
        <f>Inicial!R21</f>
        <v>0</v>
      </c>
      <c r="S21" s="71">
        <v>0.82</v>
      </c>
      <c r="T21" s="72">
        <v>0</v>
      </c>
      <c r="U21" s="11">
        <f t="shared" si="2"/>
        <v>1.0249999999999999</v>
      </c>
      <c r="V21" s="732">
        <f t="shared" si="0"/>
        <v>0</v>
      </c>
      <c r="X21" s="169" t="s">
        <v>100</v>
      </c>
      <c r="Y21" s="170"/>
      <c r="Z21" s="170"/>
      <c r="AA21" s="420">
        <f>AA17+AA18+AA19</f>
        <v>1274.1402499999999</v>
      </c>
      <c r="AB21" s="421"/>
      <c r="AD21" s="247"/>
      <c r="AE21" s="247"/>
    </row>
    <row r="22" spans="2:31" ht="12.6" customHeight="1" thickBot="1">
      <c r="B22" s="134" t="s">
        <v>62</v>
      </c>
      <c r="C22" s="397" t="s">
        <v>63</v>
      </c>
      <c r="D22" s="406"/>
      <c r="E22" s="491"/>
      <c r="F22" s="135" t="s">
        <v>64</v>
      </c>
      <c r="G22" s="397" t="s">
        <v>65</v>
      </c>
      <c r="H22" s="398"/>
      <c r="I22" s="321"/>
      <c r="J22" s="120"/>
      <c r="Q22" s="58" t="str">
        <f>Inicial!Q22</f>
        <v>4 TST S</v>
      </c>
      <c r="R22" s="58">
        <f>Inicial!R22</f>
        <v>0</v>
      </c>
      <c r="S22" s="71">
        <v>0.82</v>
      </c>
      <c r="T22" s="72">
        <v>0</v>
      </c>
      <c r="U22" s="11">
        <f t="shared" si="2"/>
        <v>1.0249999999999999</v>
      </c>
      <c r="V22" s="732">
        <f t="shared" si="0"/>
        <v>0</v>
      </c>
      <c r="AD22" s="247"/>
      <c r="AE22" s="247"/>
    </row>
    <row r="23" spans="2:31" ht="12.6" customHeight="1" thickBot="1">
      <c r="B23" s="9">
        <v>13.25</v>
      </c>
      <c r="C23" s="403">
        <v>73798</v>
      </c>
      <c r="D23" s="586"/>
      <c r="E23" s="587"/>
      <c r="F23" s="11">
        <v>61.4</v>
      </c>
      <c r="G23" s="604">
        <v>3.53</v>
      </c>
      <c r="H23" s="605"/>
      <c r="I23" s="267">
        <f>B24-B23</f>
        <v>5.0000000000000711E-2</v>
      </c>
      <c r="J23" s="120"/>
      <c r="K23" s="405" t="s">
        <v>89</v>
      </c>
      <c r="L23" s="406"/>
      <c r="M23" s="398"/>
      <c r="N23" s="335"/>
      <c r="O23" s="152" t="s">
        <v>155</v>
      </c>
      <c r="Q23" s="58" t="str">
        <f>Inicial!Q23</f>
        <v>5 TST P</v>
      </c>
      <c r="R23" s="58">
        <f>Inicial!R23</f>
        <v>0</v>
      </c>
      <c r="S23" s="71">
        <v>0.4</v>
      </c>
      <c r="T23" s="72">
        <v>0</v>
      </c>
      <c r="U23" s="11">
        <f t="shared" si="2"/>
        <v>1.0249999999999999</v>
      </c>
      <c r="V23" s="732">
        <f t="shared" si="0"/>
        <v>0</v>
      </c>
      <c r="Y23" s="129" t="s">
        <v>192</v>
      </c>
      <c r="Z23" s="174">
        <f>((C10-B10)/D19)*57.3</f>
        <v>-3.554590570719527E-2</v>
      </c>
      <c r="AD23" s="247"/>
      <c r="AE23" s="247"/>
    </row>
    <row r="24" spans="2:31" ht="12.6" customHeight="1" thickBot="1">
      <c r="B24" s="9">
        <v>13.3</v>
      </c>
      <c r="C24" s="401">
        <v>74105</v>
      </c>
      <c r="D24" s="593"/>
      <c r="E24" s="594"/>
      <c r="F24" s="11">
        <v>61.4</v>
      </c>
      <c r="G24" s="595">
        <v>3.54</v>
      </c>
      <c r="H24" s="596"/>
      <c r="I24" s="267">
        <f>B25-B23</f>
        <v>1.9673729505964133E-2</v>
      </c>
      <c r="J24" s="120"/>
      <c r="K24" s="146">
        <f>D18/2</f>
        <v>97.5</v>
      </c>
      <c r="L24" s="77">
        <v>0</v>
      </c>
      <c r="M24" s="148">
        <f>K24-L24</f>
        <v>97.5</v>
      </c>
      <c r="N24" s="320"/>
      <c r="O24" s="181">
        <v>70600</v>
      </c>
      <c r="Q24" s="78" t="str">
        <f>Inicial!Q24</f>
        <v>5 TST S</v>
      </c>
      <c r="R24" s="58"/>
      <c r="S24" s="71">
        <v>10</v>
      </c>
      <c r="T24" s="72">
        <v>0</v>
      </c>
      <c r="U24" s="11">
        <f t="shared" si="2"/>
        <v>1.0249999999999999</v>
      </c>
      <c r="V24" s="732">
        <f t="shared" ref="V24:V25" si="3">T24*U24</f>
        <v>0</v>
      </c>
      <c r="X24" s="120"/>
      <c r="Y24" s="580" t="str">
        <f>IF(Z23&lt;0,"Port Side",IF(Z23&gt;0,"Starboard Side","Upright"))</f>
        <v>Port Side</v>
      </c>
      <c r="Z24" s="581"/>
      <c r="AD24" s="247"/>
      <c r="AE24" s="247"/>
    </row>
    <row r="25" spans="2:31" ht="12.6" customHeight="1" thickBot="1">
      <c r="B25" s="136">
        <f>(H10+H12)/2-M30</f>
        <v>13.269673729505964</v>
      </c>
      <c r="C25" s="610">
        <f>C23+(C24-C23)*$I25</f>
        <v>73918.796699166618</v>
      </c>
      <c r="D25" s="611"/>
      <c r="E25" s="612"/>
      <c r="F25" s="137">
        <f>F23+(F24-F23)*$I25</f>
        <v>61.4</v>
      </c>
      <c r="G25" s="399">
        <f>G23+(G24-G23)*$I25</f>
        <v>3.5339347459011927</v>
      </c>
      <c r="H25" s="400"/>
      <c r="I25" s="267">
        <f>I24/I23</f>
        <v>0.39347459011927705</v>
      </c>
      <c r="J25" s="120"/>
      <c r="K25" s="147"/>
      <c r="L25" s="79">
        <v>0</v>
      </c>
      <c r="M25" s="149">
        <f>K24-L25</f>
        <v>97.5</v>
      </c>
      <c r="N25" s="320"/>
      <c r="O25" s="320"/>
      <c r="Q25" s="78" t="str">
        <f>Inicial!Q25</f>
        <v>APT</v>
      </c>
      <c r="R25" s="58"/>
      <c r="S25" s="71">
        <v>10</v>
      </c>
      <c r="T25" s="72">
        <v>0</v>
      </c>
      <c r="U25" s="11">
        <f t="shared" si="2"/>
        <v>1.0249999999999999</v>
      </c>
      <c r="V25" s="732">
        <f t="shared" si="3"/>
        <v>0</v>
      </c>
      <c r="AD25" s="247"/>
      <c r="AE25" s="247"/>
    </row>
    <row r="26" spans="2:31" ht="12.6" customHeight="1" thickBot="1">
      <c r="B26" s="138" t="s">
        <v>71</v>
      </c>
      <c r="C26" s="397" t="s">
        <v>72</v>
      </c>
      <c r="D26" s="406"/>
      <c r="E26" s="491"/>
      <c r="F26" s="139" t="s">
        <v>73</v>
      </c>
      <c r="G26" s="397" t="s">
        <v>74</v>
      </c>
      <c r="H26" s="398"/>
      <c r="I26" s="321"/>
      <c r="J26" s="120"/>
      <c r="O26" s="334"/>
      <c r="Q26" s="78">
        <f>Inicial!Q26</f>
        <v>0</v>
      </c>
      <c r="R26" s="58"/>
      <c r="S26" s="71">
        <v>0</v>
      </c>
      <c r="T26" s="72">
        <v>0</v>
      </c>
      <c r="U26" s="11">
        <f t="shared" si="2"/>
        <v>1.0249999999999999</v>
      </c>
      <c r="V26" s="732">
        <f>T26*U26</f>
        <v>0</v>
      </c>
      <c r="Y26" s="567" t="s">
        <v>90</v>
      </c>
      <c r="Z26" s="467"/>
      <c r="AA26" s="568"/>
      <c r="AD26" s="247"/>
      <c r="AE26" s="247"/>
    </row>
    <row r="27" spans="2:31" ht="12.6" customHeight="1">
      <c r="B27" s="140">
        <f>B23-0.5</f>
        <v>12.75</v>
      </c>
      <c r="C27" s="394">
        <v>917.7</v>
      </c>
      <c r="D27" s="395"/>
      <c r="E27" s="396"/>
      <c r="F27" s="144">
        <f>B23+0.5</f>
        <v>13.75</v>
      </c>
      <c r="G27" s="394">
        <v>923.5</v>
      </c>
      <c r="H27" s="505"/>
      <c r="I27" s="255"/>
      <c r="J27" s="120"/>
      <c r="K27" s="602" t="s">
        <v>92</v>
      </c>
      <c r="L27" s="603"/>
      <c r="M27" s="80">
        <v>0</v>
      </c>
      <c r="N27" s="282"/>
      <c r="O27" s="334"/>
      <c r="Q27" s="78">
        <f>Inicial!Q27</f>
        <v>0</v>
      </c>
      <c r="R27" s="58"/>
      <c r="S27" s="71">
        <v>0</v>
      </c>
      <c r="T27" s="72">
        <v>0</v>
      </c>
      <c r="U27" s="11">
        <f t="shared" si="2"/>
        <v>1.0249999999999999</v>
      </c>
      <c r="V27" s="732">
        <f t="shared" ref="V27:V29" si="4">T27*U27</f>
        <v>0</v>
      </c>
      <c r="X27" s="175" t="s">
        <v>70</v>
      </c>
      <c r="Y27" s="81">
        <v>1</v>
      </c>
      <c r="Z27" s="177">
        <v>1.82</v>
      </c>
      <c r="AA27" s="82">
        <v>2</v>
      </c>
      <c r="AD27" s="247"/>
      <c r="AE27" s="247"/>
    </row>
    <row r="28" spans="2:31" ht="12.6" customHeight="1">
      <c r="B28" s="141">
        <f>B24-0.5</f>
        <v>12.8</v>
      </c>
      <c r="C28" s="449">
        <v>918.1</v>
      </c>
      <c r="D28" s="495"/>
      <c r="E28" s="496"/>
      <c r="F28" s="145">
        <f>B24+0.5</f>
        <v>13.8</v>
      </c>
      <c r="G28" s="449">
        <v>923.7</v>
      </c>
      <c r="H28" s="450"/>
      <c r="I28" s="255"/>
      <c r="J28" s="120"/>
      <c r="K28" s="582" t="s">
        <v>93</v>
      </c>
      <c r="L28" s="583"/>
      <c r="M28" s="83">
        <v>0</v>
      </c>
      <c r="N28" s="282"/>
      <c r="O28" s="334"/>
      <c r="Q28" s="78">
        <f>Inicial!Q28</f>
        <v>0</v>
      </c>
      <c r="R28" s="58"/>
      <c r="S28" s="71">
        <v>0</v>
      </c>
      <c r="T28" s="72">
        <v>0</v>
      </c>
      <c r="U28" s="11">
        <f t="shared" si="2"/>
        <v>1.0249999999999999</v>
      </c>
      <c r="V28" s="732">
        <f t="shared" si="4"/>
        <v>0</v>
      </c>
      <c r="X28" s="84">
        <v>10</v>
      </c>
      <c r="Y28" s="85">
        <v>100</v>
      </c>
      <c r="Z28" s="264"/>
      <c r="AA28" s="86">
        <v>120</v>
      </c>
      <c r="AD28" s="247"/>
      <c r="AE28" s="247"/>
    </row>
    <row r="29" spans="2:31" ht="12.6" customHeight="1" thickBot="1">
      <c r="B29" s="142">
        <f>B25-0.5</f>
        <v>12.769673729505964</v>
      </c>
      <c r="C29" s="445">
        <f>C27+(C28-C27)*$I25</f>
        <v>917.85738983604779</v>
      </c>
      <c r="D29" s="497"/>
      <c r="E29" s="498"/>
      <c r="F29" s="143">
        <f>B25+0.5</f>
        <v>13.769673729505964</v>
      </c>
      <c r="G29" s="445">
        <f>G27+(G28-G27)*$I25</f>
        <v>923.57869491802387</v>
      </c>
      <c r="H29" s="446"/>
      <c r="I29" s="255"/>
      <c r="J29" s="120"/>
      <c r="K29" s="582" t="s">
        <v>94</v>
      </c>
      <c r="L29" s="583"/>
      <c r="M29" s="83">
        <v>0</v>
      </c>
      <c r="N29" s="282"/>
      <c r="O29" s="320"/>
      <c r="Q29" s="78">
        <f>Inicial!Q29</f>
        <v>0</v>
      </c>
      <c r="R29" s="58"/>
      <c r="S29" s="71">
        <v>0</v>
      </c>
      <c r="T29" s="87">
        <v>0</v>
      </c>
      <c r="U29" s="11">
        <f t="shared" si="2"/>
        <v>1.0249999999999999</v>
      </c>
      <c r="V29" s="732">
        <f t="shared" si="4"/>
        <v>0</v>
      </c>
      <c r="X29" s="84">
        <v>11</v>
      </c>
      <c r="Y29" s="176">
        <f>Z32</f>
        <v>105</v>
      </c>
      <c r="Z29" s="182">
        <f>Z36</f>
        <v>121.4</v>
      </c>
      <c r="AA29" s="178">
        <f>AB32</f>
        <v>125</v>
      </c>
      <c r="AD29" s="247"/>
      <c r="AE29" s="247"/>
    </row>
    <row r="30" spans="2:31" ht="12.6" customHeight="1" thickBot="1">
      <c r="C30" s="405" t="s">
        <v>95</v>
      </c>
      <c r="D30" s="406"/>
      <c r="E30" s="398"/>
      <c r="F30" s="447">
        <f>G29-C29</f>
        <v>5.7213050819760838</v>
      </c>
      <c r="G30" s="448"/>
      <c r="I30" s="120"/>
      <c r="J30" s="121"/>
      <c r="K30" s="607" t="s">
        <v>96</v>
      </c>
      <c r="L30" s="606"/>
      <c r="M30" s="88">
        <v>0</v>
      </c>
      <c r="N30" s="282"/>
      <c r="O30" s="320"/>
      <c r="Q30" s="89"/>
      <c r="R30" s="90"/>
      <c r="S30" s="91"/>
      <c r="T30" s="92">
        <f>SUM(T4:T29)</f>
        <v>180.45</v>
      </c>
      <c r="U30" s="32"/>
      <c r="V30" s="93">
        <f>SUM(V4:V29)</f>
        <v>183.93624999999997</v>
      </c>
      <c r="X30" s="94">
        <v>12</v>
      </c>
      <c r="Y30" s="69">
        <v>110</v>
      </c>
      <c r="Z30" s="253"/>
      <c r="AA30" s="95">
        <v>130</v>
      </c>
      <c r="AD30" s="247"/>
      <c r="AE30" s="247"/>
    </row>
    <row r="31" spans="2:31" ht="12.6" customHeight="1">
      <c r="B31" s="120"/>
      <c r="H31" s="120"/>
      <c r="I31" s="257"/>
      <c r="J31" s="313"/>
      <c r="M31" s="333"/>
      <c r="N31" s="333"/>
      <c r="Q31" s="1"/>
      <c r="R31" s="1"/>
      <c r="S31" s="1"/>
      <c r="T31" s="1"/>
      <c r="U31" s="1"/>
      <c r="V31" s="1"/>
      <c r="W31" s="247"/>
      <c r="X31" s="247"/>
      <c r="Y31" s="331">
        <f>X30-X28</f>
        <v>2</v>
      </c>
      <c r="Z31" s="319"/>
      <c r="AA31" s="319"/>
      <c r="AB31" s="331"/>
      <c r="AD31" s="247"/>
      <c r="AE31" s="247"/>
    </row>
    <row r="32" spans="2:31" ht="12" customHeight="1">
      <c r="I32" s="120"/>
      <c r="J32" s="313"/>
      <c r="Q32" s="1"/>
      <c r="R32" s="1"/>
      <c r="S32" s="1"/>
      <c r="T32" s="1"/>
      <c r="U32" s="1"/>
      <c r="V32" s="1"/>
      <c r="W32" s="247"/>
      <c r="X32" s="247"/>
      <c r="Y32" s="331">
        <f>X29-X28</f>
        <v>1</v>
      </c>
      <c r="Z32" s="319">
        <f>(Y30-Y28)*Y33+Y28</f>
        <v>105</v>
      </c>
      <c r="AA32" s="319"/>
      <c r="AB32" s="319">
        <f>(AA30-AA28)*Y33+AA28</f>
        <v>125</v>
      </c>
      <c r="AD32" s="247"/>
      <c r="AE32" s="247"/>
    </row>
    <row r="33" spans="2:31" ht="12" customHeight="1">
      <c r="I33" s="312"/>
      <c r="J33" s="313"/>
      <c r="Q33" s="1"/>
      <c r="R33" s="1"/>
      <c r="S33" s="1"/>
      <c r="T33" s="1"/>
      <c r="U33" s="1"/>
      <c r="V33" s="1"/>
      <c r="W33" s="247"/>
      <c r="X33" s="247"/>
      <c r="Y33" s="319">
        <f>Y32/Y31</f>
        <v>0.5</v>
      </c>
      <c r="Z33" s="319"/>
      <c r="AA33" s="319"/>
      <c r="AB33" s="319"/>
      <c r="AC33" s="246"/>
      <c r="AD33" s="247"/>
      <c r="AE33" s="247"/>
    </row>
    <row r="34" spans="2:31" ht="12" customHeight="1">
      <c r="B34" s="258"/>
      <c r="C34" s="258"/>
      <c r="D34" s="258"/>
      <c r="E34" s="258"/>
      <c r="F34" s="319"/>
      <c r="I34" s="312"/>
      <c r="J34" s="313"/>
      <c r="P34" s="246"/>
      <c r="Q34" s="45"/>
      <c r="R34" s="23"/>
      <c r="S34" s="52"/>
      <c r="T34" s="52"/>
      <c r="U34" s="74"/>
      <c r="V34" s="96"/>
      <c r="W34" s="247"/>
      <c r="X34" s="247"/>
      <c r="Y34" s="319"/>
      <c r="Z34" s="319"/>
      <c r="AA34" s="319"/>
      <c r="AB34" s="319"/>
      <c r="AC34" s="247"/>
      <c r="AD34" s="247"/>
      <c r="AE34" s="247"/>
    </row>
    <row r="35" spans="2:31" ht="12" customHeight="1">
      <c r="B35" s="259"/>
      <c r="C35" s="259"/>
      <c r="D35" s="259"/>
      <c r="E35" s="259"/>
      <c r="F35" s="332"/>
      <c r="I35" s="312"/>
      <c r="J35" s="313"/>
      <c r="P35" s="246"/>
      <c r="Q35" s="1"/>
      <c r="R35" s="24"/>
      <c r="S35" s="1"/>
      <c r="T35" s="1"/>
      <c r="U35" s="1"/>
      <c r="V35" s="1"/>
      <c r="W35" s="247"/>
      <c r="X35" s="247"/>
      <c r="Y35" s="331">
        <f>AA27-Y27</f>
        <v>1</v>
      </c>
      <c r="Z35" s="319"/>
      <c r="AA35" s="319"/>
      <c r="AB35" s="319"/>
      <c r="AC35" s="247"/>
      <c r="AD35" s="247"/>
      <c r="AE35" s="247"/>
    </row>
    <row r="36" spans="2:31" ht="12" customHeight="1">
      <c r="B36" s="258"/>
      <c r="C36" s="259"/>
      <c r="D36" s="259"/>
      <c r="E36" s="259"/>
      <c r="F36" s="332"/>
      <c r="I36" s="312"/>
      <c r="J36" s="313"/>
      <c r="P36" s="246"/>
      <c r="Q36" s="1"/>
      <c r="R36" s="24"/>
      <c r="S36" s="1"/>
      <c r="T36" s="1"/>
      <c r="U36" s="1"/>
      <c r="V36" s="1"/>
      <c r="W36" s="247"/>
      <c r="X36" s="247"/>
      <c r="Y36" s="332">
        <f>Z27-Y27</f>
        <v>0.82000000000000006</v>
      </c>
      <c r="Z36" s="319">
        <f>(AA29-Y29)*Y37+Y29</f>
        <v>121.4</v>
      </c>
      <c r="AA36" s="319"/>
      <c r="AB36" s="319"/>
      <c r="AC36" s="247"/>
      <c r="AD36" s="247"/>
      <c r="AE36" s="247"/>
    </row>
    <row r="37" spans="2:31" ht="12" customHeight="1">
      <c r="B37" s="258"/>
      <c r="C37" s="258"/>
      <c r="D37" s="258"/>
      <c r="E37" s="258"/>
      <c r="F37" s="319"/>
      <c r="I37" s="312"/>
      <c r="J37" s="313"/>
      <c r="P37" s="246"/>
      <c r="Q37" s="1"/>
      <c r="R37" s="24"/>
      <c r="S37" s="1"/>
      <c r="T37" s="1"/>
      <c r="U37" s="1"/>
      <c r="V37" s="1"/>
      <c r="W37" s="247"/>
      <c r="X37" s="247"/>
      <c r="Y37" s="319">
        <f>Y36/Y35</f>
        <v>0.82000000000000006</v>
      </c>
      <c r="Z37" s="319"/>
      <c r="AA37" s="319"/>
      <c r="AB37" s="319"/>
      <c r="AC37" s="247"/>
      <c r="AD37" s="247"/>
      <c r="AE37" s="247"/>
    </row>
    <row r="38" spans="2:31" ht="12" customHeight="1">
      <c r="B38" s="258"/>
      <c r="C38" s="258"/>
      <c r="D38" s="258"/>
      <c r="E38" s="258"/>
      <c r="F38" s="319"/>
      <c r="I38" s="312"/>
      <c r="J38" s="313"/>
      <c r="P38" s="246"/>
      <c r="Q38" s="1"/>
      <c r="R38" s="24"/>
      <c r="S38" s="1"/>
      <c r="T38" s="1"/>
      <c r="U38" s="1"/>
      <c r="V38" s="1"/>
      <c r="W38" s="247"/>
      <c r="X38" s="247"/>
      <c r="Y38" s="247"/>
      <c r="Z38" s="247"/>
      <c r="AA38" s="247"/>
      <c r="AB38" s="247"/>
      <c r="AC38" s="247"/>
      <c r="AD38" s="247"/>
      <c r="AE38" s="247"/>
    </row>
    <row r="39" spans="2:31" ht="12" customHeight="1">
      <c r="B39" s="258"/>
      <c r="C39" s="258"/>
      <c r="D39" s="258"/>
      <c r="E39" s="258"/>
      <c r="F39" s="319"/>
      <c r="I39" s="312"/>
      <c r="J39" s="313"/>
      <c r="P39" s="246"/>
      <c r="Q39" s="1"/>
      <c r="R39" s="1"/>
      <c r="S39" s="1"/>
      <c r="T39" s="1"/>
      <c r="U39" s="1"/>
      <c r="V39" s="1"/>
      <c r="W39" s="247"/>
      <c r="X39" s="247"/>
      <c r="Y39" s="247"/>
      <c r="Z39" s="247"/>
      <c r="AA39" s="247"/>
      <c r="AB39" s="247"/>
      <c r="AC39" s="247"/>
      <c r="AD39" s="247"/>
      <c r="AE39" s="247"/>
    </row>
    <row r="40" spans="2:31" ht="12" customHeight="1">
      <c r="I40" s="312"/>
      <c r="J40" s="313"/>
      <c r="P40" s="246"/>
      <c r="W40" s="247"/>
      <c r="X40" s="247"/>
      <c r="Y40" s="247"/>
      <c r="Z40" s="247"/>
      <c r="AA40" s="247"/>
      <c r="AB40" s="247"/>
      <c r="AC40" s="247"/>
      <c r="AD40" s="247"/>
      <c r="AE40" s="247"/>
    </row>
    <row r="41" spans="2:31" ht="12" customHeight="1">
      <c r="I41" s="312"/>
      <c r="J41" s="313"/>
      <c r="P41" s="246"/>
      <c r="W41" s="247"/>
      <c r="X41" s="247"/>
      <c r="Y41" s="247"/>
      <c r="Z41" s="247"/>
      <c r="AA41" s="247"/>
      <c r="AB41" s="247"/>
      <c r="AC41" s="247"/>
      <c r="AD41" s="247"/>
      <c r="AE41" s="247"/>
    </row>
    <row r="42" spans="2:31" ht="12" customHeight="1">
      <c r="I42" s="312"/>
      <c r="J42" s="313"/>
      <c r="P42" s="246"/>
      <c r="Q42" s="120"/>
      <c r="S42" s="120"/>
      <c r="T42" s="120"/>
      <c r="U42" s="120"/>
      <c r="V42" s="329"/>
      <c r="W42" s="247"/>
      <c r="X42" s="247"/>
      <c r="Y42" s="247"/>
      <c r="Z42" s="247"/>
      <c r="AA42" s="247"/>
      <c r="AB42" s="247"/>
      <c r="AC42" s="247"/>
      <c r="AD42" s="247"/>
      <c r="AE42" s="247"/>
    </row>
    <row r="43" spans="2:31" ht="12" customHeight="1">
      <c r="I43" s="312"/>
      <c r="J43" s="313"/>
      <c r="P43" s="246"/>
      <c r="R43" s="330"/>
      <c r="W43" s="247"/>
      <c r="X43" s="247"/>
      <c r="Y43" s="247"/>
      <c r="Z43" s="247"/>
      <c r="AA43" s="247"/>
      <c r="AB43" s="247"/>
      <c r="AC43" s="247"/>
      <c r="AD43" s="247"/>
      <c r="AE43" s="247"/>
    </row>
    <row r="44" spans="2:31" ht="12" customHeight="1">
      <c r="I44" s="312"/>
      <c r="J44" s="313"/>
      <c r="P44" s="246"/>
      <c r="R44" s="330"/>
      <c r="W44" s="247"/>
      <c r="X44" s="247"/>
      <c r="Y44" s="247"/>
      <c r="Z44" s="247"/>
      <c r="AA44" s="247"/>
      <c r="AB44" s="247"/>
      <c r="AC44" s="247"/>
      <c r="AD44" s="247"/>
      <c r="AE44" s="247"/>
    </row>
    <row r="45" spans="2:31" ht="12" customHeight="1">
      <c r="I45" s="312"/>
      <c r="J45" s="313"/>
      <c r="P45" s="246"/>
      <c r="R45" s="330"/>
      <c r="W45" s="247"/>
      <c r="X45" s="247"/>
      <c r="Y45" s="247"/>
      <c r="Z45" s="247"/>
      <c r="AA45" s="247"/>
      <c r="AB45" s="247"/>
      <c r="AC45" s="247"/>
      <c r="AD45" s="247"/>
      <c r="AE45" s="247"/>
    </row>
    <row r="46" spans="2:31" ht="12" customHeight="1">
      <c r="I46" s="312"/>
      <c r="J46" s="313"/>
      <c r="P46" s="246"/>
      <c r="R46" s="330"/>
      <c r="W46" s="247"/>
      <c r="X46" s="247"/>
      <c r="Y46" s="247"/>
      <c r="Z46" s="247"/>
      <c r="AA46" s="247"/>
      <c r="AB46" s="247"/>
      <c r="AC46" s="247"/>
      <c r="AD46" s="247"/>
      <c r="AE46" s="247"/>
    </row>
    <row r="47" spans="2:31" ht="12" customHeight="1">
      <c r="I47" s="312"/>
      <c r="J47" s="313"/>
      <c r="P47" s="246"/>
      <c r="R47" s="330"/>
      <c r="W47" s="247"/>
      <c r="X47" s="247"/>
      <c r="Y47" s="247"/>
      <c r="Z47" s="247"/>
      <c r="AA47" s="247"/>
      <c r="AB47" s="247"/>
      <c r="AC47" s="247"/>
      <c r="AD47" s="247"/>
      <c r="AE47" s="247"/>
    </row>
    <row r="48" spans="2:31" ht="12" customHeight="1">
      <c r="I48" s="312"/>
      <c r="J48" s="313"/>
      <c r="P48" s="246"/>
      <c r="R48" s="246"/>
      <c r="W48" s="247"/>
      <c r="X48" s="247"/>
      <c r="Y48" s="247"/>
      <c r="Z48" s="247"/>
      <c r="AA48" s="247"/>
      <c r="AB48" s="247"/>
      <c r="AC48" s="247"/>
      <c r="AD48" s="247"/>
      <c r="AE48" s="247"/>
    </row>
    <row r="49" spans="2:31" ht="12" customHeight="1">
      <c r="I49" s="312"/>
      <c r="J49" s="313"/>
      <c r="P49" s="246"/>
      <c r="R49" s="246"/>
      <c r="W49" s="247"/>
      <c r="X49" s="247"/>
      <c r="Y49" s="247"/>
      <c r="Z49" s="247"/>
      <c r="AA49" s="247"/>
      <c r="AB49" s="247"/>
      <c r="AC49" s="247"/>
      <c r="AD49" s="247"/>
      <c r="AE49" s="247"/>
    </row>
    <row r="50" spans="2:31" ht="12" customHeight="1">
      <c r="I50" s="312"/>
      <c r="J50" s="313"/>
      <c r="P50" s="246"/>
      <c r="R50" s="246"/>
      <c r="W50" s="247"/>
      <c r="X50" s="247"/>
      <c r="Y50" s="247"/>
      <c r="Z50" s="247"/>
      <c r="AA50" s="247"/>
      <c r="AB50" s="247"/>
      <c r="AC50" s="247"/>
      <c r="AD50" s="247"/>
      <c r="AE50" s="247"/>
    </row>
    <row r="51" spans="2:31" ht="12" customHeight="1">
      <c r="B51" s="278"/>
      <c r="C51" s="120"/>
      <c r="D51" s="120"/>
      <c r="E51" s="120"/>
      <c r="F51" s="120"/>
      <c r="G51" s="120"/>
      <c r="H51" s="120"/>
      <c r="I51" s="312"/>
      <c r="J51" s="313"/>
      <c r="P51" s="246"/>
      <c r="R51" s="246"/>
      <c r="W51" s="247"/>
      <c r="X51" s="247"/>
      <c r="Y51" s="247"/>
      <c r="Z51" s="247"/>
      <c r="AA51" s="247"/>
      <c r="AB51" s="247"/>
      <c r="AC51" s="247"/>
      <c r="AD51" s="247"/>
      <c r="AE51" s="247"/>
    </row>
    <row r="52" spans="2:31" ht="12" customHeight="1">
      <c r="G52" s="120"/>
      <c r="H52" s="120"/>
      <c r="I52" s="312"/>
      <c r="J52" s="313"/>
      <c r="P52" s="246"/>
      <c r="R52" s="246"/>
      <c r="W52" s="247"/>
      <c r="X52" s="247"/>
      <c r="Y52" s="247"/>
      <c r="Z52" s="247"/>
      <c r="AA52" s="247"/>
      <c r="AB52" s="247"/>
      <c r="AC52" s="247"/>
      <c r="AD52" s="247"/>
      <c r="AE52" s="247"/>
    </row>
    <row r="53" spans="2:31">
      <c r="G53" s="120"/>
      <c r="H53" s="120"/>
      <c r="I53" s="246"/>
      <c r="J53" s="246"/>
      <c r="P53" s="246"/>
      <c r="R53" s="246"/>
      <c r="W53" s="247"/>
      <c r="X53" s="247"/>
      <c r="Y53" s="247"/>
      <c r="Z53" s="247"/>
      <c r="AA53" s="247"/>
      <c r="AB53" s="247"/>
      <c r="AC53" s="247"/>
      <c r="AD53" s="247"/>
      <c r="AE53" s="247"/>
    </row>
    <row r="54" spans="2:31">
      <c r="G54" s="120"/>
      <c r="H54" s="120"/>
      <c r="I54" s="246"/>
      <c r="J54" s="246"/>
      <c r="P54" s="246"/>
      <c r="R54" s="246"/>
      <c r="W54" s="247"/>
      <c r="X54" s="247"/>
      <c r="Y54" s="247"/>
      <c r="Z54" s="247"/>
      <c r="AA54" s="247"/>
      <c r="AB54" s="247"/>
      <c r="AC54" s="247"/>
      <c r="AD54" s="247"/>
      <c r="AE54" s="247"/>
    </row>
    <row r="55" spans="2:31" ht="15.75" customHeight="1">
      <c r="G55" s="120"/>
      <c r="H55" s="120"/>
      <c r="I55" s="246"/>
      <c r="J55" s="246"/>
      <c r="K55" s="442"/>
      <c r="L55" s="442"/>
      <c r="M55" s="442"/>
      <c r="N55" s="442"/>
      <c r="O55" s="442"/>
      <c r="P55" s="246"/>
      <c r="Q55" s="442"/>
      <c r="R55" s="442"/>
      <c r="S55" s="442"/>
      <c r="T55" s="442"/>
      <c r="U55" s="442"/>
      <c r="V55" s="442"/>
      <c r="W55" s="247"/>
      <c r="X55" s="247"/>
      <c r="Y55" s="247"/>
      <c r="Z55" s="247"/>
      <c r="AA55" s="247"/>
      <c r="AB55" s="247"/>
      <c r="AC55" s="247"/>
      <c r="AD55" s="247"/>
      <c r="AE55" s="247"/>
    </row>
    <row r="56" spans="2:31">
      <c r="G56" s="120"/>
      <c r="H56" s="120"/>
      <c r="I56" s="246"/>
      <c r="J56" s="246"/>
      <c r="K56" s="442"/>
      <c r="L56" s="442"/>
      <c r="M56" s="442"/>
      <c r="N56" s="442"/>
      <c r="O56" s="442"/>
      <c r="P56" s="246"/>
      <c r="Q56" s="246"/>
      <c r="R56" s="246"/>
      <c r="S56" s="246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</row>
    <row r="57" spans="2:31" ht="14.65" thickBot="1">
      <c r="G57" s="120"/>
      <c r="H57" s="120"/>
      <c r="I57" s="246"/>
      <c r="J57" s="246"/>
      <c r="K57" s="442"/>
      <c r="L57" s="442"/>
      <c r="M57" s="442"/>
      <c r="N57" s="442"/>
      <c r="O57" s="442"/>
      <c r="P57" s="246"/>
      <c r="Q57" s="246"/>
      <c r="R57" s="247"/>
      <c r="S57" s="246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</row>
    <row r="58" spans="2:31" ht="14.65" thickBot="1">
      <c r="B58" s="608"/>
      <c r="C58" s="609"/>
      <c r="D58" s="600">
        <v>0</v>
      </c>
      <c r="E58" s="600"/>
      <c r="F58" s="600"/>
      <c r="G58" s="120"/>
      <c r="H58" s="120"/>
      <c r="I58" s="246"/>
      <c r="J58" s="246"/>
      <c r="K58" s="442"/>
      <c r="L58" s="442"/>
      <c r="M58" s="442"/>
      <c r="N58" s="442"/>
      <c r="O58" s="442"/>
      <c r="P58" s="246"/>
      <c r="Q58" s="246"/>
      <c r="R58" s="247"/>
      <c r="S58" s="246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</row>
    <row r="59" spans="2:31" ht="14.65" thickBot="1">
      <c r="B59" s="597"/>
      <c r="C59" s="598"/>
      <c r="D59" s="599">
        <v>0</v>
      </c>
      <c r="E59" s="600"/>
      <c r="F59" s="601"/>
      <c r="G59" s="120"/>
      <c r="H59" s="120"/>
      <c r="I59" s="246"/>
      <c r="J59" s="246"/>
      <c r="K59" s="442"/>
      <c r="L59" s="442"/>
      <c r="M59" s="442"/>
      <c r="N59" s="442"/>
      <c r="O59" s="442"/>
      <c r="P59" s="246"/>
      <c r="Q59" s="246"/>
      <c r="R59" s="247"/>
      <c r="S59" s="246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</row>
    <row r="60" spans="2:31">
      <c r="B60" s="315"/>
      <c r="C60" s="315"/>
      <c r="D60" s="315"/>
      <c r="E60" s="315"/>
      <c r="F60" s="590"/>
      <c r="G60" s="590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7"/>
      <c r="AD60" s="247"/>
      <c r="AE60" s="247"/>
    </row>
    <row r="61" spans="2:31">
      <c r="B61" s="315"/>
      <c r="C61" s="315"/>
      <c r="D61" s="315"/>
      <c r="E61" s="315"/>
      <c r="F61" s="439"/>
      <c r="G61" s="439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  <c r="AD61" s="247"/>
      <c r="AE61" s="247"/>
    </row>
    <row r="62" spans="2:31">
      <c r="B62" s="315"/>
      <c r="C62" s="315"/>
      <c r="D62" s="315"/>
      <c r="E62" s="315"/>
      <c r="F62" s="316"/>
      <c r="G62" s="316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  <c r="AA62" s="247"/>
      <c r="AB62" s="247"/>
      <c r="AC62" s="247"/>
      <c r="AD62" s="247"/>
      <c r="AE62" s="247"/>
    </row>
    <row r="63" spans="2:31">
      <c r="B63" s="315"/>
      <c r="C63" s="315"/>
      <c r="D63" s="315"/>
      <c r="E63" s="315"/>
      <c r="F63" s="439"/>
      <c r="G63" s="439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  <c r="AA63" s="247"/>
      <c r="AB63" s="247"/>
      <c r="AC63" s="247"/>
      <c r="AD63" s="247"/>
      <c r="AE63" s="247"/>
    </row>
    <row r="64" spans="2:31"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47"/>
      <c r="AC64" s="247"/>
      <c r="AD64" s="247"/>
      <c r="AE64" s="247"/>
    </row>
    <row r="65" spans="2:31"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  <c r="AD65" s="247"/>
      <c r="AE65" s="247"/>
    </row>
    <row r="66" spans="2:31"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  <c r="AD66" s="247"/>
      <c r="AE66" s="247"/>
    </row>
    <row r="67" spans="2:31"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  <c r="AD67" s="247"/>
      <c r="AE67" s="247"/>
    </row>
    <row r="68" spans="2:31"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  <c r="AD68" s="247"/>
      <c r="AE68" s="247"/>
    </row>
    <row r="69" spans="2:31"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</row>
    <row r="70" spans="2:31"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</row>
    <row r="71" spans="2:31"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</row>
    <row r="72" spans="2:31"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</row>
    <row r="73" spans="2:31"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</row>
    <row r="74" spans="2:31"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</row>
    <row r="75" spans="2:31"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</row>
    <row r="76" spans="2:31"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</row>
    <row r="77" spans="2:31"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S77" s="247"/>
      <c r="T77" s="247"/>
      <c r="U77" s="247"/>
      <c r="V77" s="247"/>
      <c r="W77" s="247"/>
      <c r="X77" s="247"/>
      <c r="Y77" s="247"/>
      <c r="Z77" s="247"/>
      <c r="AA77" s="247"/>
      <c r="AB77" s="247"/>
      <c r="AC77" s="247"/>
      <c r="AD77" s="247"/>
      <c r="AE77" s="247"/>
    </row>
    <row r="78" spans="2:31"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</row>
    <row r="79" spans="2:31"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</row>
    <row r="80" spans="2:31"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</row>
    <row r="81" spans="2:15">
      <c r="B81" s="247"/>
      <c r="C81" s="247"/>
      <c r="D81" s="247"/>
      <c r="E81" s="247"/>
      <c r="F81" s="247"/>
      <c r="G81" s="247"/>
      <c r="H81" s="247"/>
      <c r="J81" s="247"/>
      <c r="K81" s="247"/>
      <c r="L81" s="247"/>
      <c r="M81" s="247"/>
      <c r="N81" s="247"/>
      <c r="O81" s="247"/>
    </row>
    <row r="82" spans="2:15">
      <c r="B82" s="247"/>
      <c r="C82" s="247"/>
      <c r="D82" s="247"/>
      <c r="E82" s="247"/>
      <c r="F82" s="247"/>
      <c r="G82" s="247"/>
      <c r="H82" s="247"/>
      <c r="J82" s="247"/>
      <c r="K82" s="247"/>
      <c r="L82" s="247"/>
      <c r="M82" s="247"/>
      <c r="N82" s="247"/>
      <c r="O82" s="247"/>
    </row>
    <row r="83" spans="2:15">
      <c r="B83" s="247"/>
      <c r="C83" s="247"/>
      <c r="D83" s="247"/>
      <c r="E83" s="247"/>
      <c r="F83" s="247"/>
      <c r="G83" s="247"/>
      <c r="H83" s="247"/>
      <c r="J83" s="247"/>
      <c r="K83" s="247"/>
      <c r="L83" s="247"/>
      <c r="M83" s="247"/>
      <c r="N83" s="247"/>
      <c r="O83" s="247"/>
    </row>
    <row r="84" spans="2:15">
      <c r="B84" s="247"/>
      <c r="C84" s="247"/>
      <c r="D84" s="247"/>
      <c r="E84" s="247"/>
      <c r="F84" s="247"/>
      <c r="G84" s="247"/>
      <c r="H84" s="247"/>
      <c r="J84" s="247"/>
      <c r="K84" s="247"/>
      <c r="L84" s="247"/>
      <c r="M84" s="247"/>
      <c r="N84" s="247"/>
      <c r="O84" s="247"/>
    </row>
    <row r="85" spans="2:15">
      <c r="B85" s="247"/>
      <c r="C85" s="247"/>
      <c r="D85" s="247"/>
      <c r="E85" s="247"/>
      <c r="F85" s="247"/>
      <c r="G85" s="247"/>
      <c r="H85" s="247"/>
      <c r="J85" s="247"/>
      <c r="K85" s="247"/>
      <c r="L85" s="247"/>
      <c r="M85" s="247"/>
      <c r="N85" s="247"/>
      <c r="O85" s="247"/>
    </row>
    <row r="86" spans="2:15">
      <c r="B86" s="247"/>
      <c r="C86" s="247"/>
      <c r="D86" s="247"/>
      <c r="E86" s="247"/>
      <c r="F86" s="247"/>
      <c r="G86" s="247"/>
      <c r="H86" s="247"/>
      <c r="J86" s="247"/>
      <c r="K86" s="247"/>
      <c r="L86" s="247"/>
      <c r="M86" s="247"/>
      <c r="N86" s="247"/>
      <c r="O86" s="247"/>
    </row>
    <row r="87" spans="2:15">
      <c r="B87" s="247"/>
      <c r="C87" s="247"/>
      <c r="D87" s="247"/>
      <c r="E87" s="247"/>
      <c r="F87" s="247"/>
      <c r="G87" s="247"/>
      <c r="H87" s="247"/>
      <c r="J87" s="247"/>
      <c r="K87" s="247"/>
      <c r="L87" s="247"/>
      <c r="M87" s="247"/>
      <c r="N87" s="247"/>
      <c r="O87" s="247"/>
    </row>
    <row r="88" spans="2:15">
      <c r="J88" s="247"/>
    </row>
  </sheetData>
  <sheetProtection algorithmName="SHA-512" hashValue="rO2oxmdTUQ+/1aN/XK4OR8JlzyxC4r+eY0F/4zyG6jS/WZ3lQExOZTNjKI5NEU+T9Vlffuk88sgcp0SQrv3uWQ==" saltValue="TrFZrty34VlHgbqjLzBN1g==" spinCount="100000" sheet="1" objects="1" scenarios="1"/>
  <mergeCells count="67">
    <mergeCell ref="C29:E29"/>
    <mergeCell ref="C30:E30"/>
    <mergeCell ref="C25:E25"/>
    <mergeCell ref="C26:E26"/>
    <mergeCell ref="C27:E27"/>
    <mergeCell ref="C28:E28"/>
    <mergeCell ref="B59:C59"/>
    <mergeCell ref="D59:F59"/>
    <mergeCell ref="F10:G10"/>
    <mergeCell ref="Q2:V2"/>
    <mergeCell ref="K55:O59"/>
    <mergeCell ref="F12:G12"/>
    <mergeCell ref="G25:H25"/>
    <mergeCell ref="K27:L27"/>
    <mergeCell ref="G23:H23"/>
    <mergeCell ref="K2:O2"/>
    <mergeCell ref="K30:L30"/>
    <mergeCell ref="Q55:V55"/>
    <mergeCell ref="K28:L28"/>
    <mergeCell ref="K23:M23"/>
    <mergeCell ref="B58:C58"/>
    <mergeCell ref="D58:F58"/>
    <mergeCell ref="F9:G9"/>
    <mergeCell ref="F11:G11"/>
    <mergeCell ref="C24:E24"/>
    <mergeCell ref="B14:C14"/>
    <mergeCell ref="B15:B17"/>
    <mergeCell ref="C22:E22"/>
    <mergeCell ref="G22:H22"/>
    <mergeCell ref="G24:H24"/>
    <mergeCell ref="G17:H17"/>
    <mergeCell ref="F63:G63"/>
    <mergeCell ref="F60:G60"/>
    <mergeCell ref="F61:G61"/>
    <mergeCell ref="G26:H26"/>
    <mergeCell ref="F19:G19"/>
    <mergeCell ref="F20:G20"/>
    <mergeCell ref="G27:H27"/>
    <mergeCell ref="G28:H28"/>
    <mergeCell ref="B2:H2"/>
    <mergeCell ref="D10:E10"/>
    <mergeCell ref="X2:AB2"/>
    <mergeCell ref="X11:AB11"/>
    <mergeCell ref="K29:L29"/>
    <mergeCell ref="C5:D5"/>
    <mergeCell ref="C12:D12"/>
    <mergeCell ref="H7:H8"/>
    <mergeCell ref="B7:C7"/>
    <mergeCell ref="D7:D8"/>
    <mergeCell ref="F7:G8"/>
    <mergeCell ref="D9:E9"/>
    <mergeCell ref="D11:E11"/>
    <mergeCell ref="C23:E23"/>
    <mergeCell ref="AA13:AB13"/>
    <mergeCell ref="C4:D4"/>
    <mergeCell ref="AA12:AB12"/>
    <mergeCell ref="Y26:AA26"/>
    <mergeCell ref="F30:G30"/>
    <mergeCell ref="AA21:AB21"/>
    <mergeCell ref="G14:H14"/>
    <mergeCell ref="G29:H29"/>
    <mergeCell ref="AA19:AB19"/>
    <mergeCell ref="AA18:AB18"/>
    <mergeCell ref="AA15:AB15"/>
    <mergeCell ref="AA14:AB14"/>
    <mergeCell ref="AA17:AB17"/>
    <mergeCell ref="Y24:Z24"/>
  </mergeCells>
  <phoneticPr fontId="3" type="noConversion"/>
  <printOptions gridLines="1"/>
  <pageMargins left="0.51181102362204722" right="0.51181102362204722" top="0.78740157480314965" bottom="0.78740157480314965" header="0.31496062992125984" footer="0.31496062992125984"/>
  <pageSetup paperSize="9" scale="9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54"/>
  <sheetViews>
    <sheetView showGridLines="0" tabSelected="1" topLeftCell="A17" zoomScaleNormal="100" zoomScaleSheetLayoutView="100" workbookViewId="0">
      <selection activeCell="N45" sqref="N45"/>
    </sheetView>
  </sheetViews>
  <sheetFormatPr defaultRowHeight="14.25"/>
  <cols>
    <col min="1" max="1" width="4.19921875" style="653" customWidth="1"/>
    <col min="2" max="4" width="9.06640625" style="653"/>
    <col min="5" max="5" width="9.53125" style="653" customWidth="1"/>
    <col min="6" max="7" width="2.796875" style="653" customWidth="1"/>
    <col min="8" max="11" width="9.06640625" style="653"/>
    <col min="12" max="12" width="4.19921875" style="653" customWidth="1"/>
    <col min="13" max="16384" width="9.06640625" style="653"/>
  </cols>
  <sheetData>
    <row r="1" spans="2:22">
      <c r="F1" s="654"/>
      <c r="G1" s="654"/>
      <c r="H1" s="654"/>
      <c r="I1" s="654"/>
      <c r="J1" s="654"/>
      <c r="K1" s="654"/>
      <c r="L1" s="654"/>
      <c r="M1" s="654"/>
      <c r="N1" s="654"/>
      <c r="O1" s="654"/>
    </row>
    <row r="2" spans="2:22" ht="15.4">
      <c r="F2" s="655"/>
      <c r="G2" s="655"/>
      <c r="H2" s="655"/>
      <c r="I2" s="656" t="s">
        <v>102</v>
      </c>
      <c r="J2" s="656"/>
      <c r="K2" s="656"/>
      <c r="L2" s="654"/>
      <c r="M2" s="655"/>
      <c r="N2" s="655"/>
      <c r="O2" s="655"/>
      <c r="P2" s="655"/>
      <c r="Q2" s="655"/>
      <c r="R2" s="655"/>
    </row>
    <row r="3" spans="2:22">
      <c r="F3" s="98"/>
      <c r="G3" s="99"/>
      <c r="H3" s="657" t="s">
        <v>103</v>
      </c>
      <c r="I3" s="658"/>
      <c r="J3" s="658"/>
      <c r="K3" s="658"/>
      <c r="L3" s="99"/>
      <c r="M3" s="659"/>
      <c r="N3" s="99"/>
      <c r="O3" s="99"/>
      <c r="P3" s="99"/>
      <c r="Q3" s="99"/>
      <c r="R3" s="99"/>
    </row>
    <row r="4" spans="2:22">
      <c r="B4" s="660" t="s">
        <v>104</v>
      </c>
      <c r="C4" s="661"/>
      <c r="D4" s="661"/>
      <c r="E4" s="661"/>
      <c r="F4" s="661"/>
      <c r="G4" s="661"/>
      <c r="H4" s="661"/>
      <c r="I4" s="661"/>
      <c r="J4" s="662" t="s">
        <v>129</v>
      </c>
      <c r="K4" s="663" t="str">
        <f>Capa!C10</f>
        <v>12L</v>
      </c>
    </row>
    <row r="5" spans="2:22">
      <c r="B5" s="664" t="s">
        <v>15</v>
      </c>
      <c r="C5" s="665" t="str">
        <f>Capa!C13</f>
        <v>HG ANTWERP</v>
      </c>
      <c r="D5" s="665"/>
      <c r="E5" s="665"/>
      <c r="F5" s="666"/>
      <c r="G5" s="666"/>
      <c r="H5" s="667" t="s">
        <v>22</v>
      </c>
      <c r="I5" s="668">
        <f>Capa!C17</f>
        <v>9865324</v>
      </c>
      <c r="J5" s="668"/>
      <c r="K5" s="669"/>
    </row>
    <row r="6" spans="2:22">
      <c r="B6" s="670" t="s">
        <v>16</v>
      </c>
      <c r="C6" s="668" t="str">
        <f>Inicial!G5</f>
        <v>PARANAGUA</v>
      </c>
      <c r="D6" s="668"/>
      <c r="E6" s="668"/>
      <c r="H6" s="671" t="s">
        <v>11</v>
      </c>
      <c r="I6" s="668" t="str">
        <f>Inicial!G4</f>
        <v>EXPPOERT CORRIDOR</v>
      </c>
      <c r="J6" s="668"/>
      <c r="K6" s="669"/>
    </row>
    <row r="7" spans="2:22">
      <c r="B7" s="672" t="s">
        <v>21</v>
      </c>
      <c r="C7" s="668" t="str">
        <f>Capa!C8</f>
        <v>SOYBEANS IN BULK</v>
      </c>
      <c r="D7" s="668"/>
      <c r="E7" s="668"/>
      <c r="H7" s="673" t="s">
        <v>4</v>
      </c>
      <c r="I7" s="668">
        <f>Inicial!G3</f>
        <v>213</v>
      </c>
      <c r="J7" s="668"/>
      <c r="K7" s="669"/>
    </row>
    <row r="8" spans="2:22">
      <c r="B8" s="674" t="s">
        <v>199</v>
      </c>
      <c r="C8" s="668" t="str">
        <f>Capa!C4</f>
        <v>114/2026</v>
      </c>
      <c r="D8" s="668"/>
      <c r="E8" s="668"/>
      <c r="F8" s="675"/>
      <c r="G8" s="675"/>
      <c r="H8" s="676" t="s">
        <v>105</v>
      </c>
      <c r="I8" s="677">
        <f>Inicial!N18</f>
        <v>11918</v>
      </c>
      <c r="J8" s="677"/>
      <c r="K8" s="678" t="s">
        <v>106</v>
      </c>
    </row>
    <row r="9" spans="2:22" ht="7.5" customHeight="1"/>
    <row r="10" spans="2:22">
      <c r="B10" s="679" t="s">
        <v>107</v>
      </c>
      <c r="C10" s="679"/>
      <c r="D10" s="679"/>
      <c r="E10" s="679"/>
      <c r="H10" s="679" t="s">
        <v>108</v>
      </c>
      <c r="I10" s="679"/>
      <c r="J10" s="679"/>
      <c r="K10" s="679"/>
    </row>
    <row r="11" spans="2:22">
      <c r="B11" s="680" t="s">
        <v>18</v>
      </c>
      <c r="C11" s="681" t="str">
        <f>Capa!L7</f>
        <v>February 8th, 2026</v>
      </c>
      <c r="D11" s="681"/>
      <c r="E11" s="682"/>
      <c r="H11" s="683" t="s">
        <v>18</v>
      </c>
      <c r="I11" s="681" t="str">
        <f>Capa!L8</f>
        <v>February 11th, 2026</v>
      </c>
      <c r="J11" s="681"/>
      <c r="K11" s="682"/>
      <c r="O11" s="684"/>
      <c r="P11" s="684"/>
      <c r="Q11" s="684"/>
      <c r="R11" s="684"/>
      <c r="S11" s="684"/>
      <c r="T11" s="684"/>
      <c r="U11" s="684"/>
      <c r="V11" s="684"/>
    </row>
    <row r="12" spans="2:22">
      <c r="B12" s="685" t="s">
        <v>19</v>
      </c>
      <c r="C12" s="686">
        <f>Inicial!G7</f>
        <v>0.3298611111111111</v>
      </c>
      <c r="D12" s="686">
        <f>Inicial!H7</f>
        <v>0.41666666666666669</v>
      </c>
      <c r="E12" s="687"/>
      <c r="H12" s="673" t="s">
        <v>19</v>
      </c>
      <c r="I12" s="686">
        <f>Intermediario!G5</f>
        <v>0.72222222222222221</v>
      </c>
      <c r="J12" s="686">
        <f>Intermediario!H5</f>
        <v>0.79166666666666663</v>
      </c>
      <c r="K12" s="687"/>
      <c r="O12" s="684"/>
      <c r="P12" s="684"/>
      <c r="Q12" s="684"/>
      <c r="R12" s="684"/>
      <c r="S12" s="684"/>
      <c r="T12" s="684"/>
      <c r="U12" s="684"/>
      <c r="V12" s="684"/>
    </row>
    <row r="13" spans="2:22" ht="12" customHeight="1">
      <c r="B13" s="688" t="s">
        <v>58</v>
      </c>
      <c r="C13" s="689">
        <f>Inicial!G21</f>
        <v>10</v>
      </c>
      <c r="D13" s="690" t="s">
        <v>109</v>
      </c>
      <c r="E13" s="691" t="str">
        <f>IF(C13&gt;25,"Rough",IF(C13&gt;9,"Moderate",IF(C13&gt;4,"Calm","Flat")))</f>
        <v>Moderate</v>
      </c>
      <c r="H13" s="688" t="s">
        <v>58</v>
      </c>
      <c r="I13" s="689">
        <f>Intermediario!G20</f>
        <v>0</v>
      </c>
      <c r="J13" s="690" t="s">
        <v>109</v>
      </c>
      <c r="K13" s="691" t="str">
        <f>IF(I13&gt;25,"Rough",IF(I13&gt;9,"Moderate",IF(I13&gt;4,"Calm","Flat")))</f>
        <v>Flat</v>
      </c>
      <c r="O13" s="684"/>
      <c r="P13" s="684"/>
      <c r="Q13" s="684"/>
      <c r="R13" s="684"/>
      <c r="S13" s="684"/>
      <c r="T13" s="684"/>
      <c r="U13" s="684"/>
      <c r="V13" s="684"/>
    </row>
    <row r="14" spans="2:22" ht="9.75" customHeight="1">
      <c r="B14" s="692" t="s">
        <v>110</v>
      </c>
      <c r="C14" s="693">
        <f>Inicial!G20</f>
        <v>0.55000000000000004</v>
      </c>
      <c r="D14" s="694" t="s">
        <v>109</v>
      </c>
      <c r="E14" s="695" t="str">
        <f>IF(C14&gt;0.89,"High",IF(C14&gt;0.5,"Intermediate","Low"))</f>
        <v>Intermediate</v>
      </c>
      <c r="H14" s="692" t="s">
        <v>110</v>
      </c>
      <c r="I14" s="693">
        <f>Intermediario!G19</f>
        <v>0</v>
      </c>
      <c r="J14" s="694" t="s">
        <v>109</v>
      </c>
      <c r="K14" s="695" t="str">
        <f>IF(I14&gt;0.89,"High",IF(I14&gt;0.5,"Intermediate","Low"))</f>
        <v>Low</v>
      </c>
      <c r="O14" s="684"/>
      <c r="P14" s="684"/>
      <c r="Q14" s="684"/>
      <c r="R14" s="684"/>
      <c r="S14" s="684"/>
      <c r="T14" s="684"/>
      <c r="U14" s="684"/>
      <c r="V14" s="684"/>
    </row>
    <row r="15" spans="2:22" ht="7.5" customHeight="1">
      <c r="O15" s="684"/>
      <c r="P15" s="684"/>
      <c r="Q15" s="684"/>
      <c r="R15" s="684"/>
      <c r="S15" s="684"/>
      <c r="T15" s="684"/>
      <c r="U15" s="684"/>
      <c r="V15" s="684"/>
    </row>
    <row r="16" spans="2:22">
      <c r="B16" s="679" t="s">
        <v>111</v>
      </c>
      <c r="C16" s="679"/>
      <c r="D16" s="679"/>
      <c r="E16" s="679"/>
      <c r="H16" s="679" t="s">
        <v>111</v>
      </c>
      <c r="I16" s="679"/>
      <c r="J16" s="679"/>
      <c r="K16" s="679"/>
      <c r="O16" s="684"/>
      <c r="P16" s="684"/>
      <c r="Q16" s="684"/>
      <c r="R16" s="684"/>
      <c r="S16" s="684"/>
      <c r="T16" s="684"/>
      <c r="U16" s="684"/>
      <c r="V16" s="684"/>
    </row>
    <row r="17" spans="2:22">
      <c r="B17" s="696">
        <f>Inicial!B26</f>
        <v>5.8510391361185246</v>
      </c>
      <c r="C17" s="697"/>
      <c r="D17" s="697"/>
      <c r="E17" s="678" t="s">
        <v>6</v>
      </c>
      <c r="H17" s="698">
        <f>Intermediario!B25</f>
        <v>13.269673729505964</v>
      </c>
      <c r="I17" s="699"/>
      <c r="J17" s="699"/>
      <c r="K17" s="678" t="s">
        <v>6</v>
      </c>
      <c r="O17" s="684"/>
      <c r="P17" s="684"/>
      <c r="Q17" s="684"/>
      <c r="R17" s="684"/>
      <c r="S17" s="684"/>
      <c r="T17" s="684"/>
      <c r="U17" s="684"/>
      <c r="V17" s="684"/>
    </row>
    <row r="18" spans="2:22" ht="7.5" customHeight="1">
      <c r="O18" s="684"/>
      <c r="P18" s="684"/>
      <c r="Q18" s="684"/>
      <c r="R18" s="684"/>
      <c r="S18" s="684"/>
      <c r="T18" s="684"/>
      <c r="U18" s="684"/>
      <c r="V18" s="684"/>
    </row>
    <row r="19" spans="2:22">
      <c r="B19" s="679" t="s">
        <v>112</v>
      </c>
      <c r="C19" s="679"/>
      <c r="D19" s="679"/>
      <c r="E19" s="679"/>
      <c r="H19" s="679" t="s">
        <v>112</v>
      </c>
      <c r="I19" s="679"/>
      <c r="J19" s="679"/>
      <c r="K19" s="679"/>
      <c r="O19" s="684"/>
      <c r="P19" s="684"/>
      <c r="Q19" s="684"/>
      <c r="R19" s="684"/>
      <c r="S19" s="684"/>
      <c r="T19" s="684"/>
      <c r="U19" s="684"/>
      <c r="V19" s="684"/>
    </row>
    <row r="20" spans="2:22">
      <c r="B20" s="700">
        <f>Inicial!C26</f>
        <v>30289.715248651886</v>
      </c>
      <c r="C20" s="701"/>
      <c r="D20" s="701"/>
      <c r="E20" s="678" t="s">
        <v>106</v>
      </c>
      <c r="H20" s="702">
        <f>Intermediario!C25</f>
        <v>73918.796699166618</v>
      </c>
      <c r="I20" s="703"/>
      <c r="J20" s="703"/>
      <c r="K20" s="678" t="s">
        <v>106</v>
      </c>
      <c r="O20" s="684"/>
      <c r="P20" s="684"/>
      <c r="Q20" s="684"/>
      <c r="R20" s="684"/>
      <c r="S20" s="684"/>
      <c r="T20" s="684"/>
      <c r="U20" s="684"/>
      <c r="V20" s="684"/>
    </row>
    <row r="21" spans="2:22" ht="7.5" customHeight="1">
      <c r="O21" s="684"/>
      <c r="P21" s="684"/>
      <c r="Q21" s="684"/>
      <c r="R21" s="684"/>
      <c r="S21" s="684"/>
      <c r="T21" s="684"/>
      <c r="U21" s="684"/>
      <c r="V21" s="684"/>
    </row>
    <row r="22" spans="2:22">
      <c r="B22" s="679" t="s">
        <v>113</v>
      </c>
      <c r="C22" s="679"/>
      <c r="D22" s="679"/>
      <c r="E22" s="679"/>
      <c r="H22" s="679" t="s">
        <v>113</v>
      </c>
      <c r="I22" s="679"/>
      <c r="J22" s="679"/>
      <c r="K22" s="679"/>
      <c r="O22" s="684"/>
      <c r="P22" s="684"/>
      <c r="Q22" s="684"/>
      <c r="R22" s="684"/>
      <c r="S22" s="684"/>
      <c r="T22" s="684"/>
      <c r="U22" s="684"/>
      <c r="V22" s="684"/>
    </row>
    <row r="23" spans="2:22" ht="15.75">
      <c r="B23" s="696">
        <f>Inicial!N10</f>
        <v>1.016</v>
      </c>
      <c r="C23" s="697"/>
      <c r="D23" s="697"/>
      <c r="E23" s="678" t="s">
        <v>114</v>
      </c>
      <c r="H23" s="698">
        <f>Intermediario!O10</f>
        <v>1.016</v>
      </c>
      <c r="I23" s="699"/>
      <c r="J23" s="699"/>
      <c r="K23" s="678" t="s">
        <v>114</v>
      </c>
      <c r="O23" s="684"/>
      <c r="P23" s="684"/>
      <c r="Q23" s="684"/>
      <c r="R23" s="684"/>
      <c r="S23" s="684"/>
      <c r="T23" s="684"/>
      <c r="U23" s="684"/>
      <c r="V23" s="684"/>
    </row>
    <row r="24" spans="2:22" ht="7.5" customHeight="1">
      <c r="O24" s="684"/>
      <c r="P24" s="684"/>
      <c r="Q24" s="684"/>
      <c r="R24" s="684"/>
      <c r="S24" s="684"/>
      <c r="T24" s="684"/>
      <c r="U24" s="684"/>
      <c r="V24" s="684"/>
    </row>
    <row r="25" spans="2:22">
      <c r="B25" s="679" t="s">
        <v>115</v>
      </c>
      <c r="C25" s="679"/>
      <c r="D25" s="679"/>
      <c r="E25" s="679"/>
      <c r="H25" s="679" t="s">
        <v>115</v>
      </c>
      <c r="I25" s="679"/>
      <c r="J25" s="679"/>
      <c r="K25" s="679"/>
      <c r="O25" s="684"/>
      <c r="P25" s="684"/>
      <c r="Q25" s="684"/>
      <c r="R25" s="684"/>
      <c r="S25" s="684"/>
      <c r="T25" s="684"/>
      <c r="U25" s="684"/>
      <c r="V25" s="684"/>
    </row>
    <row r="26" spans="2:22">
      <c r="B26" s="702">
        <f>Inicial!N13</f>
        <v>29667.9827889238</v>
      </c>
      <c r="C26" s="703"/>
      <c r="D26" s="703"/>
      <c r="E26" s="678" t="s">
        <v>106</v>
      </c>
      <c r="H26" s="702">
        <f>Intermediario!O11</f>
        <v>73284.423171653994</v>
      </c>
      <c r="I26" s="703"/>
      <c r="J26" s="703"/>
      <c r="K26" s="678" t="s">
        <v>106</v>
      </c>
      <c r="O26" s="684"/>
      <c r="P26" s="684"/>
      <c r="Q26" s="684"/>
      <c r="R26" s="684"/>
      <c r="S26" s="684"/>
      <c r="T26" s="684"/>
      <c r="U26" s="684"/>
      <c r="V26" s="684"/>
    </row>
    <row r="27" spans="2:22" ht="7.5" customHeight="1">
      <c r="O27" s="684"/>
      <c r="P27" s="684"/>
      <c r="Q27" s="684"/>
      <c r="R27" s="684"/>
      <c r="S27" s="684"/>
      <c r="T27" s="684"/>
      <c r="U27" s="684"/>
      <c r="V27" s="684"/>
    </row>
    <row r="28" spans="2:22">
      <c r="B28" s="679" t="s">
        <v>116</v>
      </c>
      <c r="C28" s="679"/>
      <c r="D28" s="679"/>
      <c r="E28" s="679"/>
      <c r="H28" s="679" t="s">
        <v>116</v>
      </c>
      <c r="I28" s="679"/>
      <c r="J28" s="679"/>
      <c r="K28" s="679"/>
      <c r="O28" s="684"/>
      <c r="P28" s="684"/>
      <c r="Q28" s="684"/>
      <c r="R28" s="684"/>
      <c r="S28" s="684"/>
      <c r="T28" s="684"/>
      <c r="U28" s="684"/>
      <c r="V28" s="684"/>
    </row>
    <row r="29" spans="2:22">
      <c r="B29" s="702">
        <f>Inicial!N17</f>
        <v>12157.528788923799</v>
      </c>
      <c r="C29" s="703"/>
      <c r="D29" s="703"/>
      <c r="E29" s="678" t="s">
        <v>106</v>
      </c>
      <c r="H29" s="702">
        <f>Intermediario!O14</f>
        <v>72010.282921653998</v>
      </c>
      <c r="I29" s="703"/>
      <c r="J29" s="703"/>
      <c r="K29" s="678" t="s">
        <v>106</v>
      </c>
      <c r="O29" s="684"/>
      <c r="P29" s="684"/>
      <c r="Q29" s="684"/>
      <c r="R29" s="684"/>
      <c r="S29" s="684"/>
      <c r="T29" s="684"/>
      <c r="U29" s="684"/>
      <c r="V29" s="684"/>
    </row>
    <row r="30" spans="2:22" ht="7.5" customHeight="1">
      <c r="O30" s="684"/>
      <c r="P30" s="684"/>
      <c r="Q30" s="684"/>
      <c r="R30" s="684"/>
      <c r="S30" s="684"/>
      <c r="T30" s="684"/>
      <c r="U30" s="684"/>
      <c r="V30" s="684"/>
    </row>
    <row r="31" spans="2:22">
      <c r="B31" s="679" t="s">
        <v>117</v>
      </c>
      <c r="C31" s="679"/>
      <c r="D31" s="679"/>
      <c r="E31" s="679"/>
      <c r="H31" s="679" t="s">
        <v>117</v>
      </c>
      <c r="I31" s="679"/>
      <c r="J31" s="679"/>
      <c r="K31" s="679"/>
      <c r="O31" s="684"/>
      <c r="P31" s="684"/>
      <c r="Q31" s="684"/>
      <c r="R31" s="684"/>
      <c r="S31" s="684"/>
      <c r="T31" s="684"/>
      <c r="U31" s="684"/>
      <c r="V31" s="684"/>
    </row>
    <row r="32" spans="2:22">
      <c r="B32" s="702">
        <f>Inicial!N16</f>
        <v>17510.454000000002</v>
      </c>
      <c r="C32" s="703"/>
      <c r="D32" s="703"/>
      <c r="E32" s="678" t="s">
        <v>106</v>
      </c>
      <c r="H32" s="702">
        <f>Intermediario!O13</f>
        <v>1274.1402499999999</v>
      </c>
      <c r="I32" s="703"/>
      <c r="J32" s="703"/>
      <c r="K32" s="678" t="s">
        <v>106</v>
      </c>
      <c r="O32" s="684"/>
      <c r="P32" s="684"/>
      <c r="Q32" s="684"/>
      <c r="R32" s="684"/>
      <c r="S32" s="684"/>
      <c r="T32" s="684"/>
      <c r="U32" s="684"/>
      <c r="V32" s="684"/>
    </row>
    <row r="33" spans="2:22" ht="7.5" customHeight="1">
      <c r="O33" s="684"/>
      <c r="P33" s="684"/>
      <c r="Q33" s="684"/>
      <c r="R33" s="684"/>
      <c r="S33" s="684"/>
      <c r="T33" s="684"/>
      <c r="U33" s="684"/>
      <c r="V33" s="684"/>
    </row>
    <row r="34" spans="2:22">
      <c r="B34" s="679" t="s">
        <v>203</v>
      </c>
      <c r="C34" s="679"/>
      <c r="D34" s="679"/>
      <c r="E34" s="679"/>
      <c r="H34" s="679" t="s">
        <v>118</v>
      </c>
      <c r="I34" s="679"/>
      <c r="J34" s="679"/>
      <c r="K34" s="679"/>
      <c r="O34" s="684"/>
      <c r="P34" s="684"/>
      <c r="Q34" s="684"/>
      <c r="R34" s="684"/>
      <c r="S34" s="684"/>
      <c r="T34" s="684"/>
      <c r="U34" s="684"/>
      <c r="V34" s="684"/>
    </row>
    <row r="35" spans="2:22">
      <c r="B35" s="702">
        <f>Inicial!O21</f>
        <v>239.52878892379886</v>
      </c>
      <c r="C35" s="703"/>
      <c r="D35" s="703"/>
      <c r="E35" s="678" t="s">
        <v>106</v>
      </c>
      <c r="H35" s="702">
        <f>Intermediario!O19</f>
        <v>59852.754132730202</v>
      </c>
      <c r="I35" s="703"/>
      <c r="J35" s="703"/>
      <c r="K35" s="678" t="s">
        <v>106</v>
      </c>
      <c r="O35" s="684"/>
      <c r="P35" s="684"/>
      <c r="Q35" s="684"/>
      <c r="R35" s="684"/>
      <c r="S35" s="684"/>
      <c r="T35" s="684"/>
      <c r="U35" s="684"/>
      <c r="V35" s="684"/>
    </row>
    <row r="36" spans="2:22">
      <c r="B36" s="704"/>
      <c r="C36" s="704"/>
      <c r="D36" s="704"/>
      <c r="E36" s="705"/>
      <c r="H36" s="704"/>
      <c r="I36" s="704"/>
      <c r="J36" s="704"/>
      <c r="K36" s="705"/>
      <c r="O36" s="684"/>
      <c r="P36" s="684"/>
      <c r="Q36" s="684"/>
      <c r="R36" s="684"/>
      <c r="S36" s="684"/>
      <c r="T36" s="684"/>
      <c r="U36" s="684"/>
      <c r="V36" s="684"/>
    </row>
    <row r="37" spans="2:22">
      <c r="B37" s="706" t="str">
        <f>Capa!L5</f>
        <v>Shore Scale</v>
      </c>
      <c r="C37" s="707">
        <f>Inicial!N15</f>
        <v>59828.934999999998</v>
      </c>
      <c r="D37" s="707"/>
      <c r="E37" s="653" t="s">
        <v>9</v>
      </c>
      <c r="O37" s="684"/>
      <c r="P37" s="684"/>
      <c r="Q37" s="684"/>
      <c r="R37" s="684"/>
      <c r="S37" s="684"/>
      <c r="T37" s="684"/>
      <c r="U37" s="684"/>
      <c r="V37" s="684"/>
    </row>
    <row r="38" spans="2:22">
      <c r="B38" s="708" t="str">
        <f>IF(Capa!L4="Loading","LOADED","DISCHARGED")</f>
        <v>LOADED</v>
      </c>
      <c r="C38" s="709">
        <f>H35</f>
        <v>59852.754132730202</v>
      </c>
      <c r="D38" s="710"/>
      <c r="E38" s="711" t="s">
        <v>9</v>
      </c>
      <c r="H38" s="712" t="s">
        <v>15</v>
      </c>
      <c r="I38" s="709">
        <f>Intermediario!O24</f>
        <v>70600</v>
      </c>
      <c r="J38" s="709"/>
      <c r="K38" s="711" t="s">
        <v>9</v>
      </c>
      <c r="O38" s="684"/>
      <c r="P38" s="684"/>
      <c r="Q38" s="684"/>
      <c r="R38" s="684"/>
      <c r="S38" s="684"/>
      <c r="T38" s="684"/>
      <c r="U38" s="684"/>
      <c r="V38" s="684"/>
    </row>
    <row r="39" spans="2:22">
      <c r="B39" s="706" t="s">
        <v>204</v>
      </c>
      <c r="C39" s="707">
        <f>C38-C37</f>
        <v>23.819132730204728</v>
      </c>
      <c r="D39" s="713"/>
      <c r="E39" s="653" t="s">
        <v>9</v>
      </c>
      <c r="H39" s="714"/>
      <c r="I39" s="707"/>
      <c r="J39" s="713"/>
      <c r="O39" s="684"/>
      <c r="P39" s="684"/>
      <c r="Q39" s="684"/>
      <c r="R39" s="684"/>
      <c r="S39" s="684"/>
      <c r="T39" s="684"/>
      <c r="U39" s="684"/>
      <c r="V39" s="684"/>
    </row>
    <row r="40" spans="2:22">
      <c r="B40" s="685" t="s">
        <v>119</v>
      </c>
      <c r="C40" s="715">
        <f>C39/C37*100</f>
        <v>3.9812062056937388E-2</v>
      </c>
      <c r="D40" s="715"/>
      <c r="E40" s="716"/>
      <c r="H40" s="685"/>
      <c r="I40" s="715"/>
      <c r="J40" s="715"/>
    </row>
    <row r="41" spans="2:22" ht="15" customHeight="1"/>
    <row r="42" spans="2:22" ht="9.75" customHeight="1"/>
    <row r="45" spans="2:22">
      <c r="B45" s="717" t="s">
        <v>101</v>
      </c>
      <c r="C45" s="717"/>
      <c r="D45" s="717"/>
      <c r="E45" s="717"/>
      <c r="H45" s="718" t="s">
        <v>120</v>
      </c>
      <c r="I45" s="717" t="str">
        <f>Capa!C13</f>
        <v>HG ANTWERP</v>
      </c>
      <c r="J45" s="717"/>
      <c r="K45" s="717"/>
    </row>
    <row r="46" spans="2:22">
      <c r="B46" s="705"/>
      <c r="C46" s="705"/>
      <c r="D46" s="705"/>
      <c r="E46" s="705"/>
      <c r="H46" s="705"/>
      <c r="I46" s="705"/>
      <c r="J46" s="705"/>
      <c r="K46" s="705"/>
    </row>
    <row r="47" spans="2:22" ht="14.25" customHeight="1">
      <c r="B47" s="719" t="s">
        <v>194</v>
      </c>
      <c r="C47" s="720"/>
      <c r="D47" s="720"/>
      <c r="E47" s="720"/>
      <c r="F47" s="720"/>
      <c r="G47" s="720"/>
      <c r="H47" s="720"/>
      <c r="I47" s="720"/>
      <c r="J47" s="720"/>
      <c r="K47" s="720"/>
    </row>
    <row r="48" spans="2:22">
      <c r="B48" s="705"/>
      <c r="C48" s="705"/>
      <c r="D48" s="705"/>
      <c r="E48" s="705"/>
      <c r="F48" s="705"/>
      <c r="G48" s="705"/>
      <c r="H48" s="705"/>
      <c r="I48" s="705"/>
      <c r="J48" s="705"/>
      <c r="K48" s="705"/>
    </row>
    <row r="49" spans="2:11" s="722" customFormat="1" ht="11.1" customHeight="1">
      <c r="B49" s="721" t="s">
        <v>123</v>
      </c>
      <c r="C49" s="721"/>
      <c r="D49" s="721"/>
      <c r="E49" s="721"/>
      <c r="F49" s="721"/>
      <c r="G49" s="721"/>
      <c r="H49" s="721"/>
      <c r="I49" s="721"/>
      <c r="J49" s="721"/>
      <c r="K49" s="721"/>
    </row>
    <row r="50" spans="2:11" s="722" customFormat="1" ht="11.1" customHeight="1">
      <c r="B50" s="721" t="s">
        <v>124</v>
      </c>
      <c r="C50" s="721"/>
      <c r="D50" s="721" t="s">
        <v>125</v>
      </c>
      <c r="E50" s="721"/>
      <c r="F50" s="721" t="s">
        <v>126</v>
      </c>
      <c r="G50" s="721"/>
      <c r="H50" s="721"/>
      <c r="I50" s="721"/>
      <c r="J50" s="721" t="s">
        <v>127</v>
      </c>
      <c r="K50" s="721"/>
    </row>
    <row r="51" spans="2:11" s="97" customFormat="1" ht="11.1" customHeight="1">
      <c r="B51" s="613" t="s">
        <v>231</v>
      </c>
      <c r="C51" s="613"/>
      <c r="D51" s="613" t="s">
        <v>206</v>
      </c>
      <c r="E51" s="613"/>
      <c r="F51" s="613" t="s">
        <v>207</v>
      </c>
      <c r="G51" s="613"/>
      <c r="H51" s="613"/>
      <c r="I51" s="613"/>
      <c r="J51" s="617">
        <v>30182.25</v>
      </c>
      <c r="K51" s="617"/>
    </row>
    <row r="52" spans="2:11" s="97" customFormat="1" ht="11.1" customHeight="1">
      <c r="B52" s="613" t="s">
        <v>232</v>
      </c>
      <c r="C52" s="613"/>
      <c r="D52" s="613" t="s">
        <v>233</v>
      </c>
      <c r="E52" s="613"/>
      <c r="F52" s="613" t="s">
        <v>234</v>
      </c>
      <c r="G52" s="613"/>
      <c r="H52" s="613"/>
      <c r="I52" s="613"/>
      <c r="J52" s="617">
        <v>30182.560000000001</v>
      </c>
      <c r="K52" s="617"/>
    </row>
    <row r="53" spans="2:11" s="97" customFormat="1" ht="11.1" customHeight="1">
      <c r="B53" s="613"/>
      <c r="C53" s="613"/>
      <c r="D53" s="613"/>
      <c r="E53" s="613"/>
      <c r="F53" s="613"/>
      <c r="G53" s="613"/>
      <c r="H53" s="613"/>
      <c r="I53" s="613"/>
      <c r="J53" s="617"/>
      <c r="K53" s="617"/>
    </row>
    <row r="54" spans="2:11" s="97" customFormat="1" ht="11.1" customHeight="1">
      <c r="B54" s="613"/>
      <c r="C54" s="613"/>
      <c r="D54" s="614"/>
      <c r="E54" s="615"/>
      <c r="F54" s="614"/>
      <c r="G54" s="616"/>
      <c r="H54" s="616"/>
      <c r="I54" s="615"/>
      <c r="J54" s="614"/>
      <c r="K54" s="615"/>
    </row>
  </sheetData>
  <sheetProtection algorithmName="SHA-512" hashValue="8MbzJLmIK5rY9xajmU51jgLZXzldyXTaL61ehr70qVDzcSZ0HgQNlYlbRRYPXSRu0hin/porSQJOd8jIGWSXtA==" saltValue="VpQnGFpC3DTq+e/PRJ+I4w==" spinCount="100000" sheet="1" objects="1" scenarios="1"/>
  <mergeCells count="74">
    <mergeCell ref="B47:K47"/>
    <mergeCell ref="H20:J20"/>
    <mergeCell ref="H23:J23"/>
    <mergeCell ref="B20:D20"/>
    <mergeCell ref="B23:D23"/>
    <mergeCell ref="I38:J38"/>
    <mergeCell ref="I45:K45"/>
    <mergeCell ref="I39:J39"/>
    <mergeCell ref="I40:J40"/>
    <mergeCell ref="B45:E45"/>
    <mergeCell ref="C39:D39"/>
    <mergeCell ref="C40:D40"/>
    <mergeCell ref="H26:J26"/>
    <mergeCell ref="H34:K34"/>
    <mergeCell ref="H31:K31"/>
    <mergeCell ref="H28:K28"/>
    <mergeCell ref="B10:E10"/>
    <mergeCell ref="H10:K10"/>
    <mergeCell ref="H22:K22"/>
    <mergeCell ref="B32:D32"/>
    <mergeCell ref="B35:D35"/>
    <mergeCell ref="H19:K19"/>
    <mergeCell ref="H29:J29"/>
    <mergeCell ref="H32:J32"/>
    <mergeCell ref="B29:D29"/>
    <mergeCell ref="H35:J35"/>
    <mergeCell ref="B34:E34"/>
    <mergeCell ref="B26:D26"/>
    <mergeCell ref="B16:E16"/>
    <mergeCell ref="B28:E28"/>
    <mergeCell ref="B31:E31"/>
    <mergeCell ref="C37:D37"/>
    <mergeCell ref="C38:D38"/>
    <mergeCell ref="H16:K16"/>
    <mergeCell ref="B17:D17"/>
    <mergeCell ref="H17:J17"/>
    <mergeCell ref="H25:K25"/>
    <mergeCell ref="C8:E8"/>
    <mergeCell ref="I2:K2"/>
    <mergeCell ref="H3:K3"/>
    <mergeCell ref="C6:E6"/>
    <mergeCell ref="C5:E5"/>
    <mergeCell ref="I6:K6"/>
    <mergeCell ref="I5:K5"/>
    <mergeCell ref="C7:E7"/>
    <mergeCell ref="I7:K7"/>
    <mergeCell ref="I8:J8"/>
    <mergeCell ref="B19:E19"/>
    <mergeCell ref="B22:E22"/>
    <mergeCell ref="B25:E25"/>
    <mergeCell ref="D52:E52"/>
    <mergeCell ref="F52:I52"/>
    <mergeCell ref="J52:K52"/>
    <mergeCell ref="B49:K49"/>
    <mergeCell ref="B50:C50"/>
    <mergeCell ref="D50:E50"/>
    <mergeCell ref="F50:I50"/>
    <mergeCell ref="J50:K50"/>
    <mergeCell ref="B54:C54"/>
    <mergeCell ref="D54:E54"/>
    <mergeCell ref="F54:I54"/>
    <mergeCell ref="J54:K54"/>
    <mergeCell ref="B4:I4"/>
    <mergeCell ref="B53:C53"/>
    <mergeCell ref="D53:E53"/>
    <mergeCell ref="F53:I53"/>
    <mergeCell ref="J53:K53"/>
    <mergeCell ref="C11:D11"/>
    <mergeCell ref="I11:J11"/>
    <mergeCell ref="B51:C51"/>
    <mergeCell ref="D51:E51"/>
    <mergeCell ref="F51:I51"/>
    <mergeCell ref="J51:K51"/>
    <mergeCell ref="B52:C52"/>
  </mergeCells>
  <dataValidations count="1">
    <dataValidation type="list" allowBlank="1" showInputMessage="1" showErrorMessage="1" errorTitle="Entrada inválida" error="Por favor, selecione uma das opções de surveyor da lista." promptTitle="Tipo de Surveyor" prompt="Selecione o tipo de surveyor da lista suspensa." sqref="B51:B54" xr:uid="{48EBE8D3-1C06-4C03-827C-89FBC570AADD}">
      <formula1>"Shipper's Surveyor,Buyer's Surveyor,Terminal's Surveyor,Customs' Surveyor,Charterer's Surveyor,Owner's Surveyor,P&amp;I's Surveyors"</formula1>
    </dataValidation>
  </dataValidations>
  <hyperlinks>
    <hyperlink ref="H3" r:id="rId1" xr:uid="{00000000-0004-0000-0300-000000000000}"/>
  </hyperlinks>
  <pageMargins left="0.51181102362204722" right="0.51181102362204722" top="0.78740157480314965" bottom="0.78740157480314965" header="0.31496062992125984" footer="0.31496062992125984"/>
  <pageSetup paperSize="9" orientation="portrait" r:id="rId2"/>
  <headerFooter>
    <oddFooter xml:space="preserve">&amp;CAv. Ana Costa 433/Suite 184 – Santos – SP | TEL: 55 13 3394-0655 </oddFooter>
  </headerFooter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54"/>
  <sheetViews>
    <sheetView showGridLines="0" topLeftCell="A17" zoomScaleNormal="100" zoomScaleSheetLayoutView="100" workbookViewId="0">
      <selection activeCell="B49" sqref="B49:C49"/>
    </sheetView>
  </sheetViews>
  <sheetFormatPr defaultRowHeight="14.25"/>
  <cols>
    <col min="1" max="1" width="4.19921875" customWidth="1"/>
    <col min="6" max="7" width="2.796875" customWidth="1"/>
    <col min="8" max="10" width="9.1328125" customWidth="1"/>
    <col min="12" max="12" width="4.19921875" customWidth="1"/>
  </cols>
  <sheetData>
    <row r="1" spans="2:15">
      <c r="F1" s="339"/>
      <c r="G1" s="339"/>
      <c r="H1" s="339"/>
      <c r="I1" s="339"/>
      <c r="J1" s="339"/>
      <c r="K1" s="339"/>
      <c r="L1" s="339"/>
      <c r="M1" s="339"/>
      <c r="N1" s="339"/>
      <c r="O1" s="339"/>
    </row>
    <row r="2" spans="2:15" ht="15.4">
      <c r="F2" s="340"/>
      <c r="G2" s="339"/>
      <c r="H2" s="341"/>
      <c r="I2" s="631" t="s">
        <v>102</v>
      </c>
      <c r="J2" s="631"/>
      <c r="K2" s="631"/>
      <c r="L2" s="339"/>
      <c r="M2" s="339"/>
      <c r="N2" s="339"/>
      <c r="O2" s="339"/>
    </row>
    <row r="3" spans="2:15" ht="15.4">
      <c r="F3" s="340"/>
      <c r="G3" s="99"/>
      <c r="H3" s="631" t="s">
        <v>103</v>
      </c>
      <c r="I3" s="631"/>
      <c r="J3" s="631"/>
      <c r="K3" s="631"/>
      <c r="L3" s="99"/>
      <c r="M3" s="99"/>
      <c r="N3" s="99"/>
      <c r="O3" s="99"/>
    </row>
    <row r="4" spans="2:15">
      <c r="B4" s="633" t="s">
        <v>104</v>
      </c>
      <c r="C4" s="634"/>
      <c r="D4" s="634"/>
      <c r="E4" s="634"/>
      <c r="F4" s="634"/>
      <c r="G4" s="634"/>
      <c r="H4" s="634"/>
      <c r="I4" s="634"/>
      <c r="J4" s="343" t="s">
        <v>129</v>
      </c>
      <c r="K4" s="344" t="str">
        <f>Capa!C10</f>
        <v>12L</v>
      </c>
    </row>
    <row r="5" spans="2:15">
      <c r="B5" s="345" t="s">
        <v>15</v>
      </c>
      <c r="C5" s="627" t="str">
        <f>Capa!C13</f>
        <v>HG ANTWERP</v>
      </c>
      <c r="D5" s="627"/>
      <c r="E5" s="627"/>
      <c r="F5" s="347"/>
      <c r="G5" s="347"/>
      <c r="H5" s="348" t="s">
        <v>22</v>
      </c>
      <c r="I5" s="627">
        <f>Capa!C17</f>
        <v>9865324</v>
      </c>
      <c r="J5" s="627"/>
      <c r="K5" s="632"/>
    </row>
    <row r="6" spans="2:15">
      <c r="B6" s="350" t="s">
        <v>16</v>
      </c>
      <c r="C6" s="561" t="str">
        <f>Capa!C5</f>
        <v>PARANAGUA</v>
      </c>
      <c r="D6" s="561"/>
      <c r="E6" s="561"/>
      <c r="F6" s="351"/>
      <c r="G6" s="351"/>
      <c r="H6" s="352" t="s">
        <v>11</v>
      </c>
      <c r="I6" s="627" t="str">
        <f>Inicial!G4</f>
        <v>EXPPOERT CORRIDOR</v>
      </c>
      <c r="J6" s="627"/>
      <c r="K6" s="632"/>
    </row>
    <row r="7" spans="2:15">
      <c r="B7" s="353" t="s">
        <v>21</v>
      </c>
      <c r="C7" s="627" t="str">
        <f>Capa!C8</f>
        <v>SOYBEANS IN BULK</v>
      </c>
      <c r="D7" s="627"/>
      <c r="E7" s="627"/>
      <c r="H7" s="354" t="s">
        <v>4</v>
      </c>
      <c r="I7" s="627">
        <f>Inicial!G3</f>
        <v>213</v>
      </c>
      <c r="J7" s="627"/>
      <c r="K7" s="632"/>
    </row>
    <row r="8" spans="2:15">
      <c r="B8" s="355" t="s">
        <v>199</v>
      </c>
      <c r="C8" s="627" t="str">
        <f>Capa!C4</f>
        <v>114/2026</v>
      </c>
      <c r="D8" s="627"/>
      <c r="E8" s="627"/>
      <c r="H8" s="356" t="s">
        <v>105</v>
      </c>
      <c r="I8" s="626">
        <f>Inicial!N18</f>
        <v>11918</v>
      </c>
      <c r="J8" s="626"/>
      <c r="K8" s="349" t="s">
        <v>106</v>
      </c>
    </row>
    <row r="9" spans="2:15" ht="7.5" customHeight="1"/>
    <row r="10" spans="2:15">
      <c r="B10" s="625" t="s">
        <v>107</v>
      </c>
      <c r="C10" s="625"/>
      <c r="D10" s="625"/>
      <c r="E10" s="625"/>
      <c r="H10" s="625" t="s">
        <v>122</v>
      </c>
      <c r="I10" s="625"/>
      <c r="J10" s="625"/>
      <c r="K10" s="625"/>
    </row>
    <row r="11" spans="2:15">
      <c r="B11" s="348" t="s">
        <v>18</v>
      </c>
      <c r="C11" s="635" t="str">
        <f>Capa!L7</f>
        <v>February 8th, 2026</v>
      </c>
      <c r="D11" s="635"/>
      <c r="E11" s="357"/>
      <c r="H11" s="358" t="s">
        <v>18</v>
      </c>
      <c r="I11" s="635" t="str">
        <f>Capa!L9</f>
        <v>May 30th, 2026</v>
      </c>
      <c r="J11" s="635"/>
      <c r="K11" s="357"/>
    </row>
    <row r="12" spans="2:15">
      <c r="B12" s="347" t="s">
        <v>19</v>
      </c>
      <c r="C12" s="359">
        <f>Capa!M7</f>
        <v>0.3298611111111111</v>
      </c>
      <c r="D12" s="359">
        <f>Capa!N7</f>
        <v>0.41666666666666669</v>
      </c>
      <c r="E12" s="360"/>
      <c r="H12" s="354" t="s">
        <v>19</v>
      </c>
      <c r="I12" s="361">
        <f>Capa!M9</f>
        <v>0.60416666666666663</v>
      </c>
      <c r="J12" s="361">
        <f>Capa!N9</f>
        <v>0.66666666666666663</v>
      </c>
      <c r="K12" s="361"/>
    </row>
    <row r="13" spans="2:15" ht="12" customHeight="1">
      <c r="B13" s="362" t="s">
        <v>58</v>
      </c>
      <c r="C13" s="363">
        <f>Inicial!G21</f>
        <v>10</v>
      </c>
      <c r="D13" s="364" t="s">
        <v>109</v>
      </c>
      <c r="E13" s="365" t="str">
        <f>IF(C13&gt;25,"Rough",IF(C13&gt;9,"Moderate",IF(C13&gt;4,"Calm","Flat")))</f>
        <v>Moderate</v>
      </c>
      <c r="H13" s="362" t="s">
        <v>58</v>
      </c>
      <c r="I13" s="363">
        <f>final!H20</f>
        <v>6</v>
      </c>
      <c r="J13" s="364" t="s">
        <v>109</v>
      </c>
      <c r="K13" s="365" t="str">
        <f>IF(I13&gt;25,"Rough",IF(I13&gt;9,"Moderate",IF(I13&gt;4,"Calm","Flat")))</f>
        <v>Calm</v>
      </c>
    </row>
    <row r="14" spans="2:15" ht="9.75" customHeight="1">
      <c r="B14" s="366" t="s">
        <v>110</v>
      </c>
      <c r="C14" s="367">
        <f>Inicial!G20</f>
        <v>0.55000000000000004</v>
      </c>
      <c r="D14" s="368" t="s">
        <v>109</v>
      </c>
      <c r="E14" s="369" t="str">
        <f>IF(C14&gt;0.89,"High",IF(C14&gt;0.5,"Intermediate","Low"))</f>
        <v>Intermediate</v>
      </c>
      <c r="F14" s="370"/>
      <c r="G14" s="370"/>
      <c r="H14" s="366" t="s">
        <v>110</v>
      </c>
      <c r="I14" s="367">
        <f>final!H19</f>
        <v>0.2</v>
      </c>
      <c r="J14" s="368" t="s">
        <v>109</v>
      </c>
      <c r="K14" s="369" t="str">
        <f>IF(I14&gt;0.89,"High",IF(I14&gt;0.5,"Intermediate","Low"))</f>
        <v>Low</v>
      </c>
    </row>
    <row r="15" spans="2:15" ht="9.75" customHeight="1"/>
    <row r="16" spans="2:15">
      <c r="B16" s="625" t="s">
        <v>111</v>
      </c>
      <c r="C16" s="625"/>
      <c r="D16" s="625"/>
      <c r="E16" s="625"/>
      <c r="H16" s="625" t="s">
        <v>111</v>
      </c>
      <c r="I16" s="625"/>
      <c r="J16" s="625"/>
      <c r="K16" s="625"/>
    </row>
    <row r="17" spans="2:11">
      <c r="B17" s="629">
        <f>Inicial!B26</f>
        <v>5.8510391361185246</v>
      </c>
      <c r="C17" s="630"/>
      <c r="D17" s="630"/>
      <c r="E17" s="349" t="s">
        <v>6</v>
      </c>
      <c r="H17" s="629">
        <f>final!B25</f>
        <v>13.269673729505964</v>
      </c>
      <c r="I17" s="630"/>
      <c r="J17" s="630"/>
      <c r="K17" s="349" t="s">
        <v>6</v>
      </c>
    </row>
    <row r="18" spans="2:11" ht="7.5" customHeight="1"/>
    <row r="19" spans="2:11">
      <c r="B19" s="625" t="s">
        <v>112</v>
      </c>
      <c r="C19" s="625"/>
      <c r="D19" s="625"/>
      <c r="E19" s="625"/>
      <c r="H19" s="625" t="s">
        <v>112</v>
      </c>
      <c r="I19" s="625"/>
      <c r="J19" s="625"/>
      <c r="K19" s="625"/>
    </row>
    <row r="20" spans="2:11">
      <c r="B20" s="636">
        <f>Inicial!C26</f>
        <v>30289.715248651886</v>
      </c>
      <c r="C20" s="637"/>
      <c r="D20" s="637"/>
      <c r="E20" s="349" t="s">
        <v>106</v>
      </c>
      <c r="H20" s="636">
        <f>final!C25</f>
        <v>73918.796699166618</v>
      </c>
      <c r="I20" s="637"/>
      <c r="J20" s="637"/>
      <c r="K20" s="349" t="s">
        <v>106</v>
      </c>
    </row>
    <row r="21" spans="2:11" ht="7.5" customHeight="1"/>
    <row r="22" spans="2:11">
      <c r="B22" s="625" t="s">
        <v>113</v>
      </c>
      <c r="C22" s="625"/>
      <c r="D22" s="625"/>
      <c r="E22" s="625"/>
      <c r="H22" s="625" t="s">
        <v>113</v>
      </c>
      <c r="I22" s="625"/>
      <c r="J22" s="625"/>
      <c r="K22" s="625"/>
    </row>
    <row r="23" spans="2:11" ht="15.75">
      <c r="B23" s="629">
        <f>Inicial!N10</f>
        <v>1.016</v>
      </c>
      <c r="C23" s="630"/>
      <c r="D23" s="630"/>
      <c r="E23" s="349" t="s">
        <v>114</v>
      </c>
      <c r="H23" s="629">
        <f>final!O10</f>
        <v>1.016</v>
      </c>
      <c r="I23" s="630"/>
      <c r="J23" s="630"/>
      <c r="K23" s="349" t="s">
        <v>114</v>
      </c>
    </row>
    <row r="24" spans="2:11" ht="7.5" customHeight="1"/>
    <row r="25" spans="2:11">
      <c r="B25" s="625" t="s">
        <v>115</v>
      </c>
      <c r="C25" s="625"/>
      <c r="D25" s="625"/>
      <c r="E25" s="625"/>
      <c r="H25" s="625" t="s">
        <v>115</v>
      </c>
      <c r="I25" s="625"/>
      <c r="J25" s="625"/>
      <c r="K25" s="625"/>
    </row>
    <row r="26" spans="2:11">
      <c r="B26" s="636">
        <f>Inicial!N13</f>
        <v>29667.9827889238</v>
      </c>
      <c r="C26" s="637"/>
      <c r="D26" s="637"/>
      <c r="E26" s="349" t="s">
        <v>106</v>
      </c>
      <c r="H26" s="636">
        <f>final!O11</f>
        <v>73284.423171653994</v>
      </c>
      <c r="I26" s="637"/>
      <c r="J26" s="637"/>
      <c r="K26" s="349" t="s">
        <v>106</v>
      </c>
    </row>
    <row r="27" spans="2:11" ht="7.5" customHeight="1"/>
    <row r="28" spans="2:11">
      <c r="B28" s="625" t="s">
        <v>116</v>
      </c>
      <c r="C28" s="625"/>
      <c r="D28" s="625"/>
      <c r="E28" s="625"/>
      <c r="H28" s="625" t="s">
        <v>116</v>
      </c>
      <c r="I28" s="625"/>
      <c r="J28" s="625"/>
      <c r="K28" s="625"/>
    </row>
    <row r="29" spans="2:11">
      <c r="B29" s="636">
        <f>Inicial!N17</f>
        <v>12157.528788923799</v>
      </c>
      <c r="C29" s="637"/>
      <c r="D29" s="637"/>
      <c r="E29" s="349" t="s">
        <v>106</v>
      </c>
      <c r="H29" s="636">
        <f>final!O14</f>
        <v>72010.282921653998</v>
      </c>
      <c r="I29" s="637"/>
      <c r="J29" s="637"/>
      <c r="K29" s="349" t="s">
        <v>106</v>
      </c>
    </row>
    <row r="30" spans="2:11" ht="7.5" customHeight="1"/>
    <row r="31" spans="2:11">
      <c r="B31" s="625" t="s">
        <v>117</v>
      </c>
      <c r="C31" s="625"/>
      <c r="D31" s="625"/>
      <c r="E31" s="625"/>
      <c r="H31" s="625" t="s">
        <v>117</v>
      </c>
      <c r="I31" s="625"/>
      <c r="J31" s="625"/>
      <c r="K31" s="625"/>
    </row>
    <row r="32" spans="2:11">
      <c r="B32" s="636">
        <f>Inicial!N16</f>
        <v>17510.454000000002</v>
      </c>
      <c r="C32" s="637"/>
      <c r="D32" s="637"/>
      <c r="E32" s="349" t="s">
        <v>106</v>
      </c>
      <c r="H32" s="636">
        <f>final!O13</f>
        <v>1274.1402499999999</v>
      </c>
      <c r="I32" s="637"/>
      <c r="J32" s="637"/>
      <c r="K32" s="349" t="s">
        <v>106</v>
      </c>
    </row>
    <row r="33" spans="2:11" ht="7.5" customHeight="1"/>
    <row r="34" spans="2:11">
      <c r="B34" s="625" t="s">
        <v>203</v>
      </c>
      <c r="C34" s="625"/>
      <c r="D34" s="625"/>
      <c r="E34" s="625"/>
      <c r="H34" s="625" t="s">
        <v>118</v>
      </c>
      <c r="I34" s="625"/>
      <c r="J34" s="625"/>
      <c r="K34" s="625"/>
    </row>
    <row r="35" spans="2:11">
      <c r="B35" s="636">
        <f>Inicial!O21</f>
        <v>239.52878892379886</v>
      </c>
      <c r="C35" s="637"/>
      <c r="D35" s="637"/>
      <c r="E35" s="349" t="s">
        <v>106</v>
      </c>
      <c r="H35" s="636">
        <f>final!O19</f>
        <v>59852.754132730202</v>
      </c>
      <c r="I35" s="637"/>
      <c r="J35" s="637"/>
      <c r="K35" s="349" t="s">
        <v>106</v>
      </c>
    </row>
    <row r="36" spans="2:11">
      <c r="B36" s="371"/>
      <c r="C36" s="371"/>
      <c r="D36" s="371"/>
      <c r="E36" s="216"/>
      <c r="H36" s="371"/>
      <c r="I36" s="371"/>
      <c r="J36" s="371"/>
      <c r="K36" s="216"/>
    </row>
    <row r="37" spans="2:11">
      <c r="B37" s="372" t="str">
        <f>Capa!L5</f>
        <v>Shore Scale</v>
      </c>
      <c r="C37" s="638">
        <f>final!O17</f>
        <v>59828.934999999998</v>
      </c>
      <c r="D37" s="638"/>
      <c r="E37" s="216" t="s">
        <v>9</v>
      </c>
    </row>
    <row r="38" spans="2:11">
      <c r="B38" s="373" t="str">
        <f>IF(Capa!L4="Loading","LOADED","DISCHARGED")</f>
        <v>LOADED</v>
      </c>
      <c r="C38" s="640">
        <f>final!O19</f>
        <v>59852.754132730202</v>
      </c>
      <c r="D38" s="640"/>
      <c r="E38" s="374" t="s">
        <v>9</v>
      </c>
      <c r="H38" s="342" t="s">
        <v>15</v>
      </c>
      <c r="I38" s="640">
        <f>final!O24</f>
        <v>70600</v>
      </c>
      <c r="J38" s="640"/>
      <c r="K38" s="374" t="s">
        <v>9</v>
      </c>
    </row>
    <row r="39" spans="2:11">
      <c r="B39" s="372" t="s">
        <v>204</v>
      </c>
      <c r="C39" s="638">
        <f>final!O20</f>
        <v>23.819132730204728</v>
      </c>
      <c r="D39" s="638"/>
      <c r="E39" s="216" t="s">
        <v>9</v>
      </c>
      <c r="H39" s="347"/>
      <c r="I39" s="638"/>
      <c r="J39" s="638"/>
      <c r="K39" s="216"/>
    </row>
    <row r="40" spans="2:11">
      <c r="B40" s="347" t="s">
        <v>119</v>
      </c>
      <c r="C40" s="639">
        <f>final!O21</f>
        <v>3.9812062056937388E-2</v>
      </c>
      <c r="D40" s="639"/>
      <c r="H40" s="347"/>
      <c r="I40" s="638"/>
      <c r="J40" s="638"/>
      <c r="K40" s="216"/>
    </row>
    <row r="41" spans="2:11">
      <c r="B41" s="347"/>
      <c r="C41" s="221"/>
      <c r="D41" s="221"/>
      <c r="H41" s="347"/>
      <c r="I41" s="371"/>
      <c r="J41" s="371"/>
      <c r="K41" s="216"/>
    </row>
    <row r="42" spans="2:11" ht="23.25" customHeight="1"/>
    <row r="43" spans="2:11">
      <c r="B43" s="375"/>
      <c r="C43" s="375"/>
      <c r="D43" s="375"/>
      <c r="E43" s="375"/>
    </row>
    <row r="44" spans="2:11">
      <c r="B44" s="624" t="s">
        <v>101</v>
      </c>
      <c r="C44" s="624"/>
      <c r="D44" s="624"/>
      <c r="E44" s="624"/>
      <c r="H44" s="376" t="s">
        <v>120</v>
      </c>
      <c r="I44" s="621" t="str">
        <f>Capa!C13</f>
        <v>HG ANTWERP</v>
      </c>
      <c r="J44" s="621"/>
      <c r="K44" s="621"/>
    </row>
    <row r="45" spans="2:11">
      <c r="B45" s="622" t="s">
        <v>121</v>
      </c>
      <c r="C45" s="623"/>
      <c r="D45" s="623"/>
      <c r="E45" s="623"/>
      <c r="F45" s="623"/>
      <c r="G45" s="623"/>
      <c r="H45" s="623"/>
      <c r="I45" s="623"/>
      <c r="J45" s="623"/>
      <c r="K45" s="623"/>
    </row>
    <row r="46" spans="2:11">
      <c r="B46" s="216"/>
      <c r="C46" s="216"/>
      <c r="D46" s="216"/>
      <c r="E46" s="216"/>
      <c r="F46" s="216"/>
      <c r="G46" s="216"/>
      <c r="H46" s="216"/>
      <c r="I46" s="216"/>
      <c r="J46" s="216"/>
      <c r="K46" s="216"/>
    </row>
    <row r="47" spans="2:11" ht="12" customHeight="1">
      <c r="B47" s="628" t="s">
        <v>123</v>
      </c>
      <c r="C47" s="628"/>
      <c r="D47" s="628"/>
      <c r="E47" s="628"/>
      <c r="F47" s="628"/>
      <c r="G47" s="628"/>
      <c r="H47" s="628"/>
      <c r="I47" s="628"/>
      <c r="J47" s="628"/>
      <c r="K47" s="628"/>
    </row>
    <row r="48" spans="2:11" ht="12" customHeight="1">
      <c r="B48" s="628" t="s">
        <v>124</v>
      </c>
      <c r="C48" s="628"/>
      <c r="D48" s="628" t="s">
        <v>125</v>
      </c>
      <c r="E48" s="628"/>
      <c r="F48" s="628" t="s">
        <v>126</v>
      </c>
      <c r="G48" s="628"/>
      <c r="H48" s="628"/>
      <c r="I48" s="628"/>
      <c r="J48" s="628" t="s">
        <v>127</v>
      </c>
      <c r="K48" s="628"/>
    </row>
    <row r="49" spans="2:11" s="1" customFormat="1" ht="12" customHeight="1">
      <c r="B49" s="613" t="s">
        <v>205</v>
      </c>
      <c r="C49" s="613"/>
      <c r="D49" s="613" t="s">
        <v>206</v>
      </c>
      <c r="E49" s="613"/>
      <c r="F49" s="614" t="s">
        <v>209</v>
      </c>
      <c r="G49" s="616"/>
      <c r="H49" s="616"/>
      <c r="I49" s="615"/>
      <c r="J49" s="617">
        <v>30182.560000000001</v>
      </c>
      <c r="K49" s="617"/>
    </row>
    <row r="50" spans="2:11" s="1" customFormat="1" ht="12" customHeight="1">
      <c r="B50" s="613" t="s">
        <v>208</v>
      </c>
      <c r="C50" s="613"/>
      <c r="D50" s="613"/>
      <c r="E50" s="613"/>
      <c r="F50" s="614"/>
      <c r="G50" s="616"/>
      <c r="H50" s="616"/>
      <c r="I50" s="615"/>
      <c r="J50" s="617">
        <v>30182.36</v>
      </c>
      <c r="K50" s="617"/>
    </row>
    <row r="51" spans="2:11" s="1" customFormat="1" ht="12" customHeight="1">
      <c r="B51" s="613"/>
      <c r="C51" s="613"/>
      <c r="D51" s="613"/>
      <c r="E51" s="613"/>
      <c r="F51" s="613"/>
      <c r="G51" s="613"/>
      <c r="H51" s="613"/>
      <c r="I51" s="613"/>
      <c r="J51" s="617"/>
      <c r="K51" s="617"/>
    </row>
    <row r="52" spans="2:11" s="1" customFormat="1">
      <c r="B52" s="620"/>
      <c r="C52" s="619"/>
      <c r="D52" s="620"/>
      <c r="E52" s="619"/>
      <c r="F52" s="620"/>
      <c r="G52" s="618"/>
      <c r="H52" s="618"/>
      <c r="I52" s="619"/>
      <c r="J52" s="620"/>
      <c r="K52" s="619"/>
    </row>
    <row r="53" spans="2:11" s="1" customFormat="1"/>
    <row r="54" spans="2:11" s="1" customFormat="1"/>
  </sheetData>
  <mergeCells count="74">
    <mergeCell ref="B34:E34"/>
    <mergeCell ref="H34:K34"/>
    <mergeCell ref="B35:D35"/>
    <mergeCell ref="H35:J35"/>
    <mergeCell ref="C37:D37"/>
    <mergeCell ref="C39:D39"/>
    <mergeCell ref="C40:D40"/>
    <mergeCell ref="I38:J38"/>
    <mergeCell ref="I39:J39"/>
    <mergeCell ref="I40:J40"/>
    <mergeCell ref="C38:D38"/>
    <mergeCell ref="B29:D29"/>
    <mergeCell ref="H29:J29"/>
    <mergeCell ref="B31:E31"/>
    <mergeCell ref="H31:K31"/>
    <mergeCell ref="B32:D32"/>
    <mergeCell ref="H32:J32"/>
    <mergeCell ref="B25:E25"/>
    <mergeCell ref="H25:K25"/>
    <mergeCell ref="B26:D26"/>
    <mergeCell ref="H26:J26"/>
    <mergeCell ref="B28:E28"/>
    <mergeCell ref="H28:K28"/>
    <mergeCell ref="B20:D20"/>
    <mergeCell ref="H20:J20"/>
    <mergeCell ref="B22:E22"/>
    <mergeCell ref="H22:K22"/>
    <mergeCell ref="B23:D23"/>
    <mergeCell ref="H23:J23"/>
    <mergeCell ref="H17:J17"/>
    <mergeCell ref="C11:D11"/>
    <mergeCell ref="I11:J11"/>
    <mergeCell ref="B19:E19"/>
    <mergeCell ref="H19:K19"/>
    <mergeCell ref="I2:K2"/>
    <mergeCell ref="H3:K3"/>
    <mergeCell ref="C7:E7"/>
    <mergeCell ref="C6:E6"/>
    <mergeCell ref="I7:K7"/>
    <mergeCell ref="I6:K6"/>
    <mergeCell ref="I5:K5"/>
    <mergeCell ref="C5:E5"/>
    <mergeCell ref="B4:I4"/>
    <mergeCell ref="B10:E10"/>
    <mergeCell ref="H10:K10"/>
    <mergeCell ref="I8:J8"/>
    <mergeCell ref="C8:E8"/>
    <mergeCell ref="B49:C49"/>
    <mergeCell ref="D49:E49"/>
    <mergeCell ref="F49:I49"/>
    <mergeCell ref="J49:K49"/>
    <mergeCell ref="B47:K47"/>
    <mergeCell ref="B48:C48"/>
    <mergeCell ref="D48:E48"/>
    <mergeCell ref="F48:I48"/>
    <mergeCell ref="J48:K48"/>
    <mergeCell ref="B16:E16"/>
    <mergeCell ref="H16:K16"/>
    <mergeCell ref="B17:D17"/>
    <mergeCell ref="B52:C52"/>
    <mergeCell ref="D52:E52"/>
    <mergeCell ref="F52:I52"/>
    <mergeCell ref="J52:K52"/>
    <mergeCell ref="I44:K44"/>
    <mergeCell ref="B45:K45"/>
    <mergeCell ref="B44:E44"/>
    <mergeCell ref="B50:C50"/>
    <mergeCell ref="D50:E50"/>
    <mergeCell ref="F50:I50"/>
    <mergeCell ref="J50:K50"/>
    <mergeCell ref="J51:K51"/>
    <mergeCell ref="F51:I51"/>
    <mergeCell ref="D51:E51"/>
    <mergeCell ref="B51:C51"/>
  </mergeCells>
  <dataValidations count="1">
    <dataValidation type="list" allowBlank="1" showInputMessage="1" showErrorMessage="1" errorTitle="Entrada inválida" error="Por favor, selecione uma das opções de surveyor da lista." promptTitle="Tipo de Surveyor" prompt="Selecione o tipo de surveyor da lista suspensa." sqref="B49:B52" xr:uid="{C38ADFDF-4645-417A-96A3-496E944E2CD4}">
      <formula1>"Shipper's Surveyor,Buyer's Surveyor,Terminal's Surveyor,Customs' Surveyor,Charterer's Surveyor,Owner's Surveyor,P&amp;I's Surveyors"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 xml:space="preserve">&amp;CAv. Ana Costa 433/Suite 184 – Santos – SP | TEL: 55 13 3394-0655 
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42"/>
  <sheetViews>
    <sheetView showGridLines="0" zoomScaleNormal="100" zoomScaleSheetLayoutView="100" workbookViewId="0">
      <selection activeCell="Q25" sqref="Q25"/>
    </sheetView>
  </sheetViews>
  <sheetFormatPr defaultRowHeight="14.25"/>
  <cols>
    <col min="1" max="1" width="3.33203125" customWidth="1"/>
    <col min="2" max="2" width="12.33203125" customWidth="1"/>
    <col min="5" max="5" width="8.33203125" customWidth="1"/>
    <col min="6" max="6" width="0.86328125" customWidth="1"/>
    <col min="7" max="7" width="2.6640625" customWidth="1"/>
    <col min="9" max="9" width="2.46484375" customWidth="1"/>
    <col min="11" max="11" width="4.46484375" customWidth="1"/>
    <col min="12" max="12" width="6.46484375" customWidth="1"/>
    <col min="13" max="13" width="6" customWidth="1"/>
    <col min="14" max="14" width="7.86328125" customWidth="1"/>
  </cols>
  <sheetData>
    <row r="2" spans="2:13" ht="15.4">
      <c r="B2" s="377"/>
      <c r="C2" s="247"/>
      <c r="D2" s="378"/>
      <c r="E2" s="247"/>
      <c r="F2" s="247"/>
      <c r="G2" s="340"/>
      <c r="H2" s="631" t="s">
        <v>102</v>
      </c>
      <c r="I2" s="631"/>
      <c r="J2" s="631"/>
      <c r="K2" s="631"/>
      <c r="L2" s="631"/>
      <c r="M2" s="631"/>
    </row>
    <row r="3" spans="2:13">
      <c r="B3" s="377"/>
      <c r="C3" s="247"/>
      <c r="D3" s="247"/>
      <c r="E3" s="247"/>
      <c r="F3" s="247"/>
      <c r="G3" s="98"/>
      <c r="H3" s="648" t="s">
        <v>128</v>
      </c>
      <c r="I3" s="648"/>
      <c r="J3" s="648"/>
      <c r="K3" s="648"/>
      <c r="L3" s="648"/>
      <c r="M3" s="648"/>
    </row>
    <row r="4" spans="2:13">
      <c r="B4" s="647" t="str">
        <f>IF(ABS(F24)&gt;0.3,"LETTER OF PROTEST","LETTER OF DISCREPANCY")</f>
        <v>LETTER OF DISCREPANCY</v>
      </c>
      <c r="C4" s="645"/>
      <c r="D4" s="645"/>
      <c r="E4" s="645"/>
      <c r="F4" s="645"/>
      <c r="G4" s="645"/>
      <c r="H4" s="645"/>
      <c r="I4" s="645"/>
      <c r="J4" s="379" t="s">
        <v>129</v>
      </c>
      <c r="K4" s="645" t="str">
        <f>Capa!C10</f>
        <v>12L</v>
      </c>
      <c r="L4" s="645"/>
      <c r="M4" s="646"/>
    </row>
    <row r="5" spans="2:13">
      <c r="B5" s="380" t="s">
        <v>15</v>
      </c>
      <c r="C5" s="627" t="str">
        <f>Capa!C13</f>
        <v>HG ANTWERP</v>
      </c>
      <c r="D5" s="627"/>
      <c r="E5" s="627"/>
      <c r="F5" s="357"/>
      <c r="H5" s="642" t="s">
        <v>22</v>
      </c>
      <c r="I5" s="643"/>
      <c r="J5" s="627">
        <f>Capa!C17</f>
        <v>9865324</v>
      </c>
      <c r="K5" s="627"/>
      <c r="L5" s="627"/>
      <c r="M5" s="632"/>
    </row>
    <row r="6" spans="2:13">
      <c r="B6" s="380" t="s">
        <v>16</v>
      </c>
      <c r="C6" s="627" t="str">
        <f>Inicial!G5</f>
        <v>PARANAGUA</v>
      </c>
      <c r="D6" s="627"/>
      <c r="E6" s="627"/>
      <c r="F6" s="357"/>
      <c r="H6" s="642" t="s">
        <v>11</v>
      </c>
      <c r="I6" s="643"/>
      <c r="J6" s="627" t="str">
        <f>Inicial!G4</f>
        <v>EXPPOERT CORRIDOR</v>
      </c>
      <c r="K6" s="627"/>
      <c r="L6" s="627"/>
      <c r="M6" s="632"/>
    </row>
    <row r="7" spans="2:13">
      <c r="B7" s="380" t="s">
        <v>21</v>
      </c>
      <c r="C7" s="627" t="str">
        <f>Capa!C8</f>
        <v>SOYBEANS IN BULK</v>
      </c>
      <c r="D7" s="627"/>
      <c r="E7" s="627"/>
      <c r="F7" s="346"/>
      <c r="G7" s="216"/>
      <c r="H7" s="220" t="s">
        <v>4</v>
      </c>
      <c r="I7" s="381"/>
      <c r="J7" s="649">
        <f>Inicial!G3</f>
        <v>213</v>
      </c>
      <c r="K7" s="649"/>
      <c r="L7" s="649"/>
      <c r="M7" s="650"/>
    </row>
    <row r="8" spans="2:13">
      <c r="B8" s="382" t="str">
        <f>IF(Capa!L4="Loading","LOADED","DISCHARGED")</f>
        <v>LOADED</v>
      </c>
      <c r="C8" s="626">
        <f>Inicial!N15</f>
        <v>59828.934999999998</v>
      </c>
      <c r="D8" s="626"/>
      <c r="E8" s="644" t="s">
        <v>9</v>
      </c>
      <c r="F8" s="644"/>
      <c r="G8" s="383"/>
      <c r="H8" s="384" t="s">
        <v>199</v>
      </c>
      <c r="I8" s="384"/>
      <c r="J8" s="644" t="str">
        <f>Capa!C4</f>
        <v>114/2026</v>
      </c>
      <c r="K8" s="644"/>
      <c r="L8" s="644"/>
      <c r="M8" s="652"/>
    </row>
    <row r="9" spans="2:13">
      <c r="B9" s="220"/>
      <c r="C9" s="216"/>
      <c r="D9" s="216"/>
      <c r="E9" s="216"/>
      <c r="F9" s="216"/>
      <c r="G9" s="216"/>
    </row>
    <row r="10" spans="2:13">
      <c r="B10" s="385" t="str">
        <f>Capa!L9</f>
        <v>May 30th, 2026</v>
      </c>
      <c r="C10" s="216"/>
      <c r="D10" s="216"/>
      <c r="E10" s="216"/>
      <c r="F10" s="216"/>
      <c r="G10" s="216"/>
    </row>
    <row r="11" spans="2:13">
      <c r="B11" s="220"/>
      <c r="C11" s="216"/>
      <c r="D11" s="216"/>
      <c r="E11" s="216"/>
      <c r="F11" s="216"/>
      <c r="G11" s="216"/>
    </row>
    <row r="12" spans="2:13">
      <c r="B12" s="220" t="s">
        <v>211</v>
      </c>
    </row>
    <row r="13" spans="2:13">
      <c r="B13" t="str">
        <f>Capa!C6</f>
        <v>EXPPOERT CORRIDOR</v>
      </c>
    </row>
    <row r="14" spans="2:13">
      <c r="B14" t="s">
        <v>212</v>
      </c>
    </row>
    <row r="15" spans="2:13">
      <c r="B15" s="220" t="str">
        <f>Capa!C13</f>
        <v>HG ANTWERP</v>
      </c>
      <c r="C15" s="220"/>
      <c r="D15" s="220"/>
    </row>
    <row r="16" spans="2:13">
      <c r="B16" s="220" t="str">
        <f>Capa!C11</f>
        <v>NAABSA</v>
      </c>
      <c r="C16" s="220"/>
      <c r="D16" s="220"/>
    </row>
    <row r="17" spans="2:14">
      <c r="B17" s="220"/>
      <c r="C17" s="220"/>
      <c r="D17" s="220"/>
    </row>
    <row r="18" spans="2:14">
      <c r="B18" s="641"/>
      <c r="C18" s="641"/>
      <c r="D18" s="641"/>
      <c r="E18" s="641"/>
      <c r="F18" s="641"/>
      <c r="G18" s="641"/>
      <c r="H18" s="641"/>
      <c r="I18" s="641"/>
      <c r="J18" s="641"/>
      <c r="K18" s="641"/>
      <c r="L18" s="641"/>
      <c r="M18" s="641"/>
      <c r="N18" s="641"/>
    </row>
    <row r="21" spans="2:14">
      <c r="B21" s="641" t="str">
        <f>Capa!L5</f>
        <v>Shore Scale</v>
      </c>
      <c r="C21" s="641"/>
      <c r="D21" s="641"/>
      <c r="F21" s="651">
        <f>final!O17</f>
        <v>59828.934999999998</v>
      </c>
      <c r="G21" s="651"/>
      <c r="H21" s="651"/>
      <c r="I21" s="651"/>
      <c r="J21" s="386" t="s">
        <v>9</v>
      </c>
    </row>
    <row r="22" spans="2:14">
      <c r="B22" s="641" t="s">
        <v>216</v>
      </c>
      <c r="C22" s="641"/>
      <c r="D22" s="641"/>
      <c r="F22" s="638">
        <f>final!O19</f>
        <v>59852.754132730202</v>
      </c>
      <c r="G22" s="638"/>
      <c r="H22" s="638"/>
      <c r="I22" s="638"/>
      <c r="J22" s="386" t="s">
        <v>9</v>
      </c>
    </row>
    <row r="23" spans="2:14">
      <c r="B23" s="641" t="s">
        <v>217</v>
      </c>
      <c r="C23" s="641"/>
      <c r="D23" s="641"/>
      <c r="F23" s="637">
        <f>final!O20</f>
        <v>23.819132730204728</v>
      </c>
      <c r="G23" s="637"/>
      <c r="H23" s="637"/>
      <c r="I23" s="637"/>
      <c r="J23" s="386" t="s">
        <v>9</v>
      </c>
    </row>
    <row r="24" spans="2:14">
      <c r="B24" s="641" t="s">
        <v>218</v>
      </c>
      <c r="C24" s="641"/>
      <c r="D24" s="641"/>
      <c r="F24" s="637">
        <f>final!O21</f>
        <v>3.9812062056937388E-2</v>
      </c>
      <c r="G24" s="637"/>
      <c r="H24" s="637"/>
      <c r="I24" s="637"/>
      <c r="J24" s="386" t="s">
        <v>119</v>
      </c>
    </row>
    <row r="27" spans="2:14">
      <c r="B27" s="624"/>
      <c r="C27" s="624"/>
      <c r="D27" s="624"/>
      <c r="E27" s="624"/>
      <c r="F27" s="624"/>
      <c r="G27" s="624"/>
      <c r="H27" s="624"/>
      <c r="I27" s="624"/>
      <c r="J27" s="624"/>
      <c r="K27" s="624"/>
      <c r="L27" s="624"/>
      <c r="M27" s="624"/>
    </row>
    <row r="28" spans="2:14">
      <c r="B28" s="641"/>
      <c r="C28" s="641"/>
      <c r="D28" s="641"/>
      <c r="E28" s="641"/>
      <c r="F28" s="641"/>
      <c r="G28" s="641"/>
      <c r="H28" s="641"/>
      <c r="I28" s="641"/>
      <c r="J28" s="641"/>
      <c r="K28" s="641"/>
      <c r="L28" s="641"/>
      <c r="M28" s="641"/>
    </row>
    <row r="29" spans="2:14">
      <c r="B29" s="641"/>
      <c r="C29" s="641"/>
      <c r="D29" s="641"/>
      <c r="E29" s="641"/>
      <c r="F29" s="641"/>
      <c r="G29" s="641"/>
      <c r="H29" s="641"/>
      <c r="I29" s="641"/>
      <c r="J29" s="641"/>
      <c r="K29" s="641"/>
      <c r="L29" s="641"/>
      <c r="M29" s="641"/>
    </row>
    <row r="32" spans="2:14">
      <c r="B32" s="641"/>
      <c r="C32" s="641"/>
      <c r="D32" s="641"/>
      <c r="E32" s="641"/>
    </row>
    <row r="33" spans="2:14">
      <c r="B33" s="220"/>
      <c r="C33" s="220"/>
      <c r="D33" s="220"/>
      <c r="E33" s="220"/>
    </row>
    <row r="34" spans="2:14">
      <c r="B34" s="220"/>
      <c r="C34" s="220"/>
      <c r="D34" s="220"/>
      <c r="E34" s="220"/>
    </row>
    <row r="35" spans="2:14">
      <c r="B35" s="641" t="s">
        <v>130</v>
      </c>
      <c r="C35" s="641"/>
      <c r="D35" s="641"/>
      <c r="E35" s="641"/>
    </row>
    <row r="36" spans="2:14">
      <c r="B36" s="220"/>
      <c r="C36" s="220"/>
      <c r="D36" s="220"/>
      <c r="E36" s="220"/>
    </row>
    <row r="37" spans="2:14">
      <c r="B37" s="220"/>
      <c r="C37" s="220"/>
      <c r="D37" s="220"/>
      <c r="E37" s="220"/>
    </row>
    <row r="40" spans="2:14">
      <c r="B40" s="621" t="str">
        <f>J6</f>
        <v>EXPPOERT CORRIDOR</v>
      </c>
      <c r="C40" s="621"/>
      <c r="D40" s="621"/>
      <c r="E40" s="621"/>
      <c r="I40" s="621" t="str">
        <f>Capa!C13</f>
        <v>HG ANTWERP</v>
      </c>
      <c r="J40" s="621"/>
      <c r="K40" s="621"/>
      <c r="L40" s="621"/>
      <c r="M40" s="621"/>
      <c r="N40" s="621"/>
    </row>
    <row r="41" spans="2:14">
      <c r="B41" s="216"/>
      <c r="C41" s="216"/>
      <c r="D41" s="216"/>
      <c r="E41" s="216"/>
      <c r="I41" s="216"/>
      <c r="J41" s="216"/>
      <c r="K41" s="216"/>
      <c r="L41" s="216"/>
      <c r="M41" s="216"/>
      <c r="N41" s="216"/>
    </row>
    <row r="42" spans="2:14">
      <c r="B42" s="216"/>
      <c r="C42" s="216"/>
      <c r="D42" s="216"/>
      <c r="E42" s="216"/>
      <c r="I42" s="216"/>
      <c r="J42" s="216"/>
      <c r="K42" s="216"/>
      <c r="L42" s="216"/>
      <c r="M42" s="216"/>
      <c r="N42" s="216"/>
    </row>
  </sheetData>
  <sheetProtection algorithmName="SHA-512" hashValue="H0VLFAkA/irN5jziP+xYw/8f4R3+otD0rjYUMnfDlsW/1/bf74jJYHbzHQc7kDJoW8aasJzdQilOmwqKzpzVaA==" saltValue="ZgjZ32EBoWKO+xWU5IzBHA==" spinCount="100000" sheet="1" objects="1" scenarios="1"/>
  <mergeCells count="31">
    <mergeCell ref="C7:E7"/>
    <mergeCell ref="H6:I6"/>
    <mergeCell ref="B40:E40"/>
    <mergeCell ref="I40:N40"/>
    <mergeCell ref="B22:D22"/>
    <mergeCell ref="F22:I22"/>
    <mergeCell ref="B23:D23"/>
    <mergeCell ref="F23:I23"/>
    <mergeCell ref="B24:D24"/>
    <mergeCell ref="F24:I24"/>
    <mergeCell ref="J6:M6"/>
    <mergeCell ref="B18:N18"/>
    <mergeCell ref="B21:D21"/>
    <mergeCell ref="F21:I21"/>
    <mergeCell ref="J8:M8"/>
    <mergeCell ref="H2:M2"/>
    <mergeCell ref="B35:E35"/>
    <mergeCell ref="B27:M27"/>
    <mergeCell ref="B28:M28"/>
    <mergeCell ref="B29:M29"/>
    <mergeCell ref="B32:E32"/>
    <mergeCell ref="H5:I5"/>
    <mergeCell ref="J5:M5"/>
    <mergeCell ref="C5:E5"/>
    <mergeCell ref="C6:E6"/>
    <mergeCell ref="E8:F8"/>
    <mergeCell ref="C8:D8"/>
    <mergeCell ref="K4:M4"/>
    <mergeCell ref="B4:I4"/>
    <mergeCell ref="H3:M3"/>
    <mergeCell ref="J7:M7"/>
  </mergeCells>
  <hyperlinks>
    <hyperlink ref="H3" r:id="rId1" display="mailto:surveyors@naabsa.com" xr:uid="{00000000-0004-0000-0500-000000000000}"/>
  </hyperlinks>
  <pageMargins left="0.51181102362204722" right="0.51181102362204722" top="0.78740157480314965" bottom="0.78740157480314965" header="0.31496062992125984" footer="0.31496062992125984"/>
  <pageSetup paperSize="9" orientation="portrait" r:id="rId2"/>
  <headerFooter>
    <oddFooter xml:space="preserve">&amp;CAv. Ana Costa 433/Suite 184 – Santos – SP | TEL: 55 13 3394-0655 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e51f4a-57fe-4690-a6a0-08abb60e44cb">
      <Terms xmlns="http://schemas.microsoft.com/office/infopath/2007/PartnerControls"/>
    </lcf76f155ced4ddcb4097134ff3c332f>
    <TaxCatchAll xmlns="c3c5eb31-f15d-4b84-a3c7-30f17623d4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486E44FC1E1E4C84FA9FA658674617" ma:contentTypeVersion="17" ma:contentTypeDescription="Crie um novo documento." ma:contentTypeScope="" ma:versionID="5e800d2f8943d83934d512a1f8a5f9b4">
  <xsd:schema xmlns:xsd="http://www.w3.org/2001/XMLSchema" xmlns:xs="http://www.w3.org/2001/XMLSchema" xmlns:p="http://schemas.microsoft.com/office/2006/metadata/properties" xmlns:ns2="09e51f4a-57fe-4690-a6a0-08abb60e44cb" xmlns:ns3="c3c5eb31-f15d-4b84-a3c7-30f17623d447" targetNamespace="http://schemas.microsoft.com/office/2006/metadata/properties" ma:root="true" ma:fieldsID="8487d8d5610680df998ea20fb0f1e5f0" ns2:_="" ns3:_="">
    <xsd:import namespace="09e51f4a-57fe-4690-a6a0-08abb60e44cb"/>
    <xsd:import namespace="c3c5eb31-f15d-4b84-a3c7-30f17623d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51f4a-57fe-4690-a6a0-08abb60e4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1d320e-5f7a-438e-8957-5c9074a50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5eb31-f15d-4b84-a3c7-30f17623d44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de379af-0777-41e0-b8bd-0ae8279417b7}" ma:internalName="TaxCatchAll" ma:showField="CatchAllData" ma:web="c3c5eb31-f15d-4b84-a3c7-30f17623d4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CB0D1-BA73-4F08-B561-2A60587BC603}">
  <ds:schemaRefs>
    <ds:schemaRef ds:uri="http://purl.org/dc/terms/"/>
    <ds:schemaRef ds:uri="http://purl.org/dc/elements/1.1/"/>
    <ds:schemaRef ds:uri="http://schemas.microsoft.com/office/2006/metadata/properties"/>
    <ds:schemaRef ds:uri="09e51f4a-57fe-4690-a6a0-08abb60e44cb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3c5eb31-f15d-4b84-a3c7-30f17623d44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F2E0316-0847-4C3B-8E25-DB61B22FE9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77921-A6C2-432D-AF91-D2129F939D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e51f4a-57fe-4690-a6a0-08abb60e44cb"/>
    <ds:schemaRef ds:uri="c3c5eb31-f15d-4b84-a3c7-30f17623d44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</vt:i4>
      </vt:variant>
    </vt:vector>
  </HeadingPairs>
  <TitlesOfParts>
    <vt:vector size="13" baseType="lpstr">
      <vt:lpstr>Capa</vt:lpstr>
      <vt:lpstr>Inicial</vt:lpstr>
      <vt:lpstr>Intermediario</vt:lpstr>
      <vt:lpstr>final</vt:lpstr>
      <vt:lpstr>DS INTERMEDIATE</vt:lpstr>
      <vt:lpstr>DS FINAL</vt:lpstr>
      <vt:lpstr>LOD-LOP</vt:lpstr>
      <vt:lpstr>'DS FINAL'!Area_de_impressao</vt:lpstr>
      <vt:lpstr>'DS INTERMEDIATE'!Area_de_impressao</vt:lpstr>
      <vt:lpstr>final!Area_de_impressao</vt:lpstr>
      <vt:lpstr>Inicial!Area_de_impressao</vt:lpstr>
      <vt:lpstr>Intermediario!Area_de_impressao</vt:lpstr>
      <vt:lpstr>'LOD-LOP'!Area_de_impressao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2006-09-25T12:47:36Z</dcterms:created>
  <dcterms:modified xsi:type="dcterms:W3CDTF">2026-06-22T20:13:36Z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0x01010060486E44FC1E1E4C84FA9FA658674617</vt:lpwstr>
  </property>
  <property fmtid="{D5CDD505-2E9C-101B-9397-08002B2CF9AE}" pid="3" name="MediaServiceImageTags">
    <vt:lpwstr/>
  </property>
</Properties>
</file>