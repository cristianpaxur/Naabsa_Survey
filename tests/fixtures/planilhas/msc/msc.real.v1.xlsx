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agencianaabsa-my.sharepoint.com/personal/eric_naabsa_com1/Documents/Área de Trabalho/"/>
    </mc:Choice>
  </mc:AlternateContent>
  <xr:revisionPtr revIDLastSave="1463" documentId="13_ncr:1_{A13FED5D-F5DF-4C7D-A778-6D93755BF606}" xr6:coauthVersionLast="47" xr6:coauthVersionMax="47" xr10:uidLastSave="{A75BB1B7-7341-46F2-ABC6-5060F2C9BF6C}"/>
  <bookViews>
    <workbookView xWindow="28680" yWindow="-120" windowWidth="29040" windowHeight="15720" tabRatio="804" activeTab="6" xr2:uid="{24A5A2E0-4F92-4052-82B7-FA59B962F2A2}"/>
  </bookViews>
  <sheets>
    <sheet name="Summary" sheetId="7" r:id="rId1"/>
    <sheet name="Time Log" sheetId="33" r:id="rId2"/>
    <sheet name="Qtt Sumary" sheetId="28" r:id="rId3"/>
    <sheet name="Sludge" sheetId="30" r:id="rId4"/>
    <sheet name="Vessel Ullage" sheetId="8" r:id="rId5"/>
    <sheet name="LOG Audit" sheetId="31" r:id="rId6"/>
    <sheet name="LNG" sheetId="35" r:id="rId7"/>
    <sheet name="VacuoAr" sheetId="13" state="hidden" r:id="rId8"/>
  </sheets>
  <definedNames>
    <definedName name="_xlnm._FilterDatabase" localSheetId="5" hidden="1">'LOG Audit'!$B$27:$H$32</definedName>
    <definedName name="_xlnm.Print_Area" localSheetId="6">LNG!$A$1:$O$76</definedName>
    <definedName name="_xlnm.Print_Area" localSheetId="5">'LOG Audit'!$A$1:$AH$88</definedName>
    <definedName name="_xlnm.Print_Area" localSheetId="2">'Qtt Sumary'!$A$1:$AF$106</definedName>
    <definedName name="_xlnm.Print_Area" localSheetId="3">Sludge!$A$1:$M$65</definedName>
    <definedName name="_xlnm.Print_Area" localSheetId="1">'Time Log'!$A$1:$U$60</definedName>
    <definedName name="_xlnm.Print_Area" localSheetId="4">'Vessel Ullage'!$A$1:$U$101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1" l="1"/>
  <c r="G40" i="30"/>
  <c r="D42" i="30"/>
  <c r="F38" i="28"/>
  <c r="F36" i="28"/>
  <c r="F35" i="28"/>
  <c r="F41" i="28"/>
  <c r="E57" i="35"/>
  <c r="C41" i="35"/>
  <c r="C42" i="35" s="1"/>
  <c r="F22" i="28"/>
  <c r="F17" i="28"/>
  <c r="F12" i="28"/>
  <c r="I7" i="35"/>
  <c r="I6" i="35"/>
  <c r="H7" i="35"/>
  <c r="J7" i="31"/>
  <c r="J6" i="31"/>
  <c r="H7" i="31"/>
  <c r="J5" i="30"/>
  <c r="J4" i="30"/>
  <c r="I5" i="30"/>
  <c r="I4" i="30"/>
  <c r="G6" i="28"/>
  <c r="G5" i="28"/>
  <c r="F6" i="28"/>
  <c r="F5" i="28"/>
  <c r="L6" i="8"/>
  <c r="J6" i="8"/>
  <c r="L5" i="8"/>
  <c r="J5" i="8"/>
  <c r="K45" i="35"/>
  <c r="J45" i="35"/>
  <c r="E45" i="35"/>
  <c r="H46" i="35"/>
  <c r="B29" i="31" l="1"/>
  <c r="K12" i="31"/>
  <c r="J12" i="31"/>
  <c r="C12" i="31"/>
  <c r="C45" i="35" s="1"/>
  <c r="B28" i="31" l="1"/>
  <c r="E26" i="28"/>
  <c r="E21" i="28"/>
  <c r="E16" i="28"/>
  <c r="I39" i="8"/>
  <c r="O39" i="8"/>
  <c r="P39" i="8"/>
  <c r="Q39" i="8"/>
  <c r="R39" i="8"/>
  <c r="I40" i="8"/>
  <c r="O40" i="8"/>
  <c r="P40" i="8"/>
  <c r="Q40" i="8"/>
  <c r="R40" i="8"/>
  <c r="I41" i="8"/>
  <c r="O41" i="8"/>
  <c r="P41" i="8"/>
  <c r="Q41" i="8"/>
  <c r="R41" i="8"/>
  <c r="I42" i="8"/>
  <c r="O42" i="8"/>
  <c r="P42" i="8"/>
  <c r="Q42" i="8"/>
  <c r="R42" i="8"/>
  <c r="F51" i="30"/>
  <c r="E45" i="30"/>
  <c r="S41" i="8" l="1"/>
  <c r="T41" i="8"/>
  <c r="J41" i="8" s="1"/>
  <c r="L41" i="8" s="1"/>
  <c r="M41" i="8" s="1"/>
  <c r="S39" i="8"/>
  <c r="S40" i="8"/>
  <c r="T40" i="8" s="1"/>
  <c r="J40" i="8" s="1"/>
  <c r="L40" i="8" s="1"/>
  <c r="T39" i="8"/>
  <c r="J39" i="8" s="1"/>
  <c r="L39" i="8" s="1"/>
  <c r="S42" i="8"/>
  <c r="T42" i="8" s="1"/>
  <c r="J42" i="8" s="1"/>
  <c r="L42" i="8" s="1"/>
  <c r="N42" i="8" s="1"/>
  <c r="N41" i="8" l="1"/>
  <c r="M40" i="8"/>
  <c r="N40" i="8"/>
  <c r="M39" i="8"/>
  <c r="N39" i="8"/>
  <c r="M42" i="8"/>
  <c r="D32" i="35" l="1"/>
  <c r="C39" i="35"/>
  <c r="F26" i="28" s="1"/>
  <c r="D22" i="35"/>
  <c r="C22" i="35"/>
  <c r="J53" i="35" l="1"/>
  <c r="J47" i="35" l="1"/>
  <c r="F27" i="28" s="1"/>
  <c r="I53" i="35"/>
  <c r="H53" i="35"/>
  <c r="C47" i="35"/>
  <c r="H14" i="31"/>
  <c r="E24" i="30"/>
  <c r="E47" i="35"/>
  <c r="E29" i="28"/>
  <c r="G47" i="35"/>
  <c r="F47" i="35"/>
  <c r="D47" i="35"/>
  <c r="H47" i="35"/>
  <c r="E56" i="35" s="1"/>
  <c r="G53" i="35"/>
  <c r="F53" i="35"/>
  <c r="E53" i="35"/>
  <c r="D53" i="35"/>
  <c r="F16" i="31"/>
  <c r="G16" i="31"/>
  <c r="J16" i="31"/>
  <c r="C16" i="31"/>
  <c r="E58" i="35" l="1"/>
  <c r="E59" i="35" s="1"/>
  <c r="E16" i="31"/>
  <c r="F28" i="28"/>
  <c r="D16" i="31"/>
  <c r="M74" i="35" l="1"/>
  <c r="D74" i="35"/>
  <c r="N32" i="35"/>
  <c r="M32" i="35"/>
  <c r="L32" i="35"/>
  <c r="J32" i="35"/>
  <c r="K32" i="35"/>
  <c r="I32" i="35"/>
  <c r="H32" i="35"/>
  <c r="G32" i="35"/>
  <c r="F32" i="35"/>
  <c r="E32" i="35"/>
  <c r="D7" i="35"/>
  <c r="H6" i="35"/>
  <c r="D6" i="35"/>
  <c r="J5" i="35"/>
  <c r="H5" i="35"/>
  <c r="D5" i="35"/>
  <c r="D30" i="31"/>
  <c r="D32" i="31" s="1"/>
  <c r="I75" i="8"/>
  <c r="I76" i="8"/>
  <c r="I56" i="8"/>
  <c r="I57" i="8"/>
  <c r="I58" i="8"/>
  <c r="I59" i="8"/>
  <c r="I60" i="8"/>
  <c r="I61" i="8"/>
  <c r="I62" i="8"/>
  <c r="I63" i="8"/>
  <c r="I64" i="8"/>
  <c r="I65" i="8"/>
  <c r="I66" i="8"/>
  <c r="I67" i="8"/>
  <c r="I69" i="8"/>
  <c r="I70" i="8"/>
  <c r="I72" i="8"/>
  <c r="I73" i="8"/>
  <c r="I74" i="8"/>
  <c r="I77" i="8"/>
  <c r="I78" i="8"/>
  <c r="I79" i="8"/>
  <c r="I80" i="8"/>
  <c r="I81" i="8"/>
  <c r="I82" i="8"/>
  <c r="I83" i="8"/>
  <c r="E56" i="8"/>
  <c r="O56" i="8" s="1"/>
  <c r="E57" i="8"/>
  <c r="O57" i="8" s="1"/>
  <c r="E58" i="8"/>
  <c r="O58" i="8" s="1"/>
  <c r="E59" i="8"/>
  <c r="O59" i="8" s="1"/>
  <c r="E60" i="8"/>
  <c r="O60" i="8" s="1"/>
  <c r="E61" i="8"/>
  <c r="O61" i="8" s="1"/>
  <c r="E62" i="8"/>
  <c r="O62" i="8" s="1"/>
  <c r="E63" i="8"/>
  <c r="O63" i="8" s="1"/>
  <c r="E64" i="8"/>
  <c r="O64" i="8" s="1"/>
  <c r="E65" i="8"/>
  <c r="O65" i="8" s="1"/>
  <c r="E66" i="8"/>
  <c r="O66" i="8" s="1"/>
  <c r="E67" i="8"/>
  <c r="O67" i="8" s="1"/>
  <c r="E68" i="8"/>
  <c r="O68" i="8" s="1"/>
  <c r="E69" i="8"/>
  <c r="O69" i="8" s="1"/>
  <c r="E70" i="8"/>
  <c r="O70" i="8" s="1"/>
  <c r="E71" i="8"/>
  <c r="O71" i="8" s="1"/>
  <c r="E72" i="8"/>
  <c r="O72" i="8" s="1"/>
  <c r="E73" i="8"/>
  <c r="O73" i="8" s="1"/>
  <c r="E74" i="8"/>
  <c r="O74" i="8" s="1"/>
  <c r="E75" i="8"/>
  <c r="O75" i="8" s="1"/>
  <c r="E76" i="8"/>
  <c r="O76" i="8" s="1"/>
  <c r="E77" i="8"/>
  <c r="O77" i="8" s="1"/>
  <c r="E78" i="8"/>
  <c r="O78" i="8" s="1"/>
  <c r="E79" i="8"/>
  <c r="O79" i="8" s="1"/>
  <c r="E80" i="8"/>
  <c r="O80" i="8" s="1"/>
  <c r="E81" i="8"/>
  <c r="O81" i="8" s="1"/>
  <c r="E82" i="8"/>
  <c r="O82" i="8" s="1"/>
  <c r="E83" i="8"/>
  <c r="O83" i="8" s="1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2" i="8"/>
  <c r="D73" i="8"/>
  <c r="D74" i="8"/>
  <c r="D75" i="8"/>
  <c r="D76" i="8"/>
  <c r="D77" i="8"/>
  <c r="D78" i="8"/>
  <c r="D79" i="8"/>
  <c r="D80" i="8"/>
  <c r="D81" i="8"/>
  <c r="D82" i="8"/>
  <c r="D83" i="8"/>
  <c r="K56" i="8"/>
  <c r="P56" i="8" s="1"/>
  <c r="K57" i="8"/>
  <c r="R57" i="8" s="1"/>
  <c r="K58" i="8"/>
  <c r="P58" i="8" s="1"/>
  <c r="K59" i="8"/>
  <c r="Q59" i="8" s="1"/>
  <c r="K60" i="8"/>
  <c r="P60" i="8" s="1"/>
  <c r="K61" i="8"/>
  <c r="P61" i="8" s="1"/>
  <c r="K62" i="8"/>
  <c r="R62" i="8" s="1"/>
  <c r="K63" i="8"/>
  <c r="R63" i="8" s="1"/>
  <c r="K64" i="8"/>
  <c r="Q64" i="8" s="1"/>
  <c r="K65" i="8"/>
  <c r="P65" i="8" s="1"/>
  <c r="K66" i="8"/>
  <c r="R66" i="8" s="1"/>
  <c r="K67" i="8"/>
  <c r="P67" i="8" s="1"/>
  <c r="K68" i="8"/>
  <c r="P68" i="8" s="1"/>
  <c r="K69" i="8"/>
  <c r="Q69" i="8" s="1"/>
  <c r="K70" i="8"/>
  <c r="Q70" i="8" s="1"/>
  <c r="K71" i="8"/>
  <c r="R71" i="8" s="1"/>
  <c r="K72" i="8"/>
  <c r="Q72" i="8" s="1"/>
  <c r="K73" i="8"/>
  <c r="P73" i="8" s="1"/>
  <c r="K74" i="8"/>
  <c r="R74" i="8" s="1"/>
  <c r="K75" i="8"/>
  <c r="Q75" i="8" s="1"/>
  <c r="K76" i="8"/>
  <c r="P76" i="8" s="1"/>
  <c r="K77" i="8"/>
  <c r="P77" i="8" s="1"/>
  <c r="K78" i="8"/>
  <c r="R78" i="8" s="1"/>
  <c r="K79" i="8"/>
  <c r="P79" i="8" s="1"/>
  <c r="K80" i="8"/>
  <c r="Q80" i="8" s="1"/>
  <c r="K81" i="8"/>
  <c r="R81" i="8" s="1"/>
  <c r="K82" i="8"/>
  <c r="P82" i="8" s="1"/>
  <c r="K83" i="8"/>
  <c r="P83" i="8" s="1"/>
  <c r="C74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H15" i="31"/>
  <c r="E30" i="31"/>
  <c r="E32" i="31" s="1"/>
  <c r="L100" i="8"/>
  <c r="D100" i="8"/>
  <c r="I68" i="8"/>
  <c r="I71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H6" i="31"/>
  <c r="K13" i="30"/>
  <c r="K12" i="30"/>
  <c r="U11" i="8"/>
  <c r="D37" i="30"/>
  <c r="K50" i="8"/>
  <c r="K48" i="8"/>
  <c r="K49" i="8"/>
  <c r="C75" i="8"/>
  <c r="O15" i="8"/>
  <c r="P15" i="8"/>
  <c r="Q15" i="8"/>
  <c r="R15" i="8"/>
  <c r="O16" i="8"/>
  <c r="P16" i="8"/>
  <c r="Q16" i="8"/>
  <c r="R16" i="8"/>
  <c r="O17" i="8"/>
  <c r="P17" i="8"/>
  <c r="Q17" i="8"/>
  <c r="R17" i="8"/>
  <c r="O18" i="8"/>
  <c r="P18" i="8"/>
  <c r="Q18" i="8"/>
  <c r="R18" i="8"/>
  <c r="O19" i="8"/>
  <c r="P19" i="8"/>
  <c r="Q19" i="8"/>
  <c r="R19" i="8"/>
  <c r="O20" i="8"/>
  <c r="P20" i="8"/>
  <c r="Q20" i="8"/>
  <c r="R20" i="8"/>
  <c r="O21" i="8"/>
  <c r="P21" i="8"/>
  <c r="Q21" i="8"/>
  <c r="R21" i="8"/>
  <c r="O22" i="8"/>
  <c r="P22" i="8"/>
  <c r="Q22" i="8"/>
  <c r="R22" i="8"/>
  <c r="O23" i="8"/>
  <c r="P23" i="8"/>
  <c r="Q23" i="8"/>
  <c r="R23" i="8"/>
  <c r="O24" i="8"/>
  <c r="P24" i="8"/>
  <c r="Q24" i="8"/>
  <c r="R24" i="8"/>
  <c r="O25" i="8"/>
  <c r="P25" i="8"/>
  <c r="Q25" i="8"/>
  <c r="R25" i="8"/>
  <c r="O26" i="8"/>
  <c r="P26" i="8"/>
  <c r="Q26" i="8"/>
  <c r="R26" i="8"/>
  <c r="O27" i="8"/>
  <c r="P27" i="8"/>
  <c r="Q27" i="8"/>
  <c r="R27" i="8"/>
  <c r="O28" i="8"/>
  <c r="P28" i="8"/>
  <c r="Q28" i="8"/>
  <c r="R28" i="8"/>
  <c r="O29" i="8"/>
  <c r="P29" i="8"/>
  <c r="Q29" i="8"/>
  <c r="R29" i="8"/>
  <c r="O30" i="8"/>
  <c r="P30" i="8"/>
  <c r="Q30" i="8"/>
  <c r="R30" i="8"/>
  <c r="O31" i="8"/>
  <c r="P31" i="8"/>
  <c r="Q31" i="8"/>
  <c r="R31" i="8"/>
  <c r="O32" i="8"/>
  <c r="P32" i="8"/>
  <c r="Q32" i="8"/>
  <c r="R32" i="8"/>
  <c r="O33" i="8"/>
  <c r="P33" i="8"/>
  <c r="Q33" i="8"/>
  <c r="R33" i="8"/>
  <c r="O34" i="8"/>
  <c r="P34" i="8"/>
  <c r="Q34" i="8"/>
  <c r="R34" i="8"/>
  <c r="O35" i="8"/>
  <c r="P35" i="8"/>
  <c r="Q35" i="8"/>
  <c r="R35" i="8"/>
  <c r="O36" i="8"/>
  <c r="P36" i="8"/>
  <c r="Q36" i="8"/>
  <c r="R36" i="8"/>
  <c r="O37" i="8"/>
  <c r="P37" i="8"/>
  <c r="Q37" i="8"/>
  <c r="R37" i="8"/>
  <c r="O38" i="8"/>
  <c r="P38" i="8"/>
  <c r="Q38" i="8"/>
  <c r="R38" i="8"/>
  <c r="B15" i="31"/>
  <c r="B14" i="31"/>
  <c r="B13" i="31"/>
  <c r="E49" i="30"/>
  <c r="E47" i="30"/>
  <c r="F32" i="28"/>
  <c r="E22" i="28"/>
  <c r="E19" i="28"/>
  <c r="E11" i="28"/>
  <c r="E13" i="28" s="1"/>
  <c r="D31" i="30"/>
  <c r="C4" i="28"/>
  <c r="F4" i="28"/>
  <c r="I4" i="28"/>
  <c r="C5" i="28"/>
  <c r="C6" i="28"/>
  <c r="F37" i="28"/>
  <c r="C54" i="28"/>
  <c r="G54" i="28"/>
  <c r="C3" i="30"/>
  <c r="I3" i="30"/>
  <c r="K3" i="30"/>
  <c r="C4" i="30"/>
  <c r="C5" i="30"/>
  <c r="I24" i="30"/>
  <c r="C64" i="30"/>
  <c r="J64" i="30"/>
  <c r="D4" i="8"/>
  <c r="J4" i="8"/>
  <c r="L4" i="8"/>
  <c r="D5" i="8"/>
  <c r="D6" i="8"/>
  <c r="J48" i="8"/>
  <c r="D5" i="31"/>
  <c r="I5" i="31"/>
  <c r="L5" i="31"/>
  <c r="D6" i="31"/>
  <c r="D7" i="31"/>
  <c r="H13" i="31"/>
  <c r="F30" i="31"/>
  <c r="F32" i="31" s="1"/>
  <c r="D57" i="31"/>
  <c r="J57" i="31"/>
  <c r="C34" i="35" l="1"/>
  <c r="I45" i="8"/>
  <c r="I43" i="8"/>
  <c r="I44" i="8"/>
  <c r="E51" i="30"/>
  <c r="E52" i="30"/>
  <c r="P72" i="8"/>
  <c r="Q71" i="8"/>
  <c r="P71" i="8"/>
  <c r="R67" i="8"/>
  <c r="Q67" i="8"/>
  <c r="Q58" i="8"/>
  <c r="R83" i="8"/>
  <c r="Q83" i="8"/>
  <c r="Q63" i="8"/>
  <c r="P63" i="8"/>
  <c r="P80" i="8"/>
  <c r="S33" i="8"/>
  <c r="T33" i="8" s="1"/>
  <c r="J33" i="8" s="1"/>
  <c r="L33" i="8" s="1"/>
  <c r="L45" i="8" s="1"/>
  <c r="P64" i="8"/>
  <c r="R76" i="8"/>
  <c r="S35" i="8"/>
  <c r="T35" i="8" s="1"/>
  <c r="J35" i="8" s="1"/>
  <c r="L35" i="8" s="1"/>
  <c r="Q76" i="8"/>
  <c r="S76" i="8" s="1"/>
  <c r="T76" i="8" s="1"/>
  <c r="J76" i="8" s="1"/>
  <c r="L76" i="8" s="1"/>
  <c r="N76" i="8" s="1"/>
  <c r="P59" i="8"/>
  <c r="Q62" i="8"/>
  <c r="R59" i="8"/>
  <c r="S19" i="8"/>
  <c r="T19" i="8" s="1"/>
  <c r="J19" i="8" s="1"/>
  <c r="L19" i="8" s="1"/>
  <c r="E18" i="28"/>
  <c r="E23" i="28"/>
  <c r="R72" i="8"/>
  <c r="R68" i="8"/>
  <c r="R64" i="8"/>
  <c r="P78" i="8"/>
  <c r="S28" i="8"/>
  <c r="T28" i="8" s="1"/>
  <c r="J28" i="8" s="1"/>
  <c r="L28" i="8" s="1"/>
  <c r="M28" i="8" s="1"/>
  <c r="Q61" i="8"/>
  <c r="R82" i="8"/>
  <c r="Q74" i="8"/>
  <c r="C36" i="35"/>
  <c r="F29" i="28" s="1"/>
  <c r="Q82" i="8"/>
  <c r="Q57" i="8"/>
  <c r="S17" i="8"/>
  <c r="T17" i="8" s="1"/>
  <c r="J17" i="8" s="1"/>
  <c r="L17" i="8" s="1"/>
  <c r="P57" i="8"/>
  <c r="Q60" i="8"/>
  <c r="S37" i="8"/>
  <c r="T37" i="8" s="1"/>
  <c r="J37" i="8" s="1"/>
  <c r="L37" i="8" s="1"/>
  <c r="Q78" i="8"/>
  <c r="S38" i="8"/>
  <c r="T38" i="8" s="1"/>
  <c r="J38" i="8" s="1"/>
  <c r="L38" i="8" s="1"/>
  <c r="S36" i="8"/>
  <c r="T36" i="8" s="1"/>
  <c r="J36" i="8" s="1"/>
  <c r="L36" i="8" s="1"/>
  <c r="M36" i="8" s="1"/>
  <c r="R65" i="8"/>
  <c r="S24" i="8"/>
  <c r="T24" i="8" s="1"/>
  <c r="J24" i="8" s="1"/>
  <c r="L24" i="8" s="1"/>
  <c r="N24" i="8" s="1"/>
  <c r="S23" i="8"/>
  <c r="T23" i="8" s="1"/>
  <c r="J23" i="8" s="1"/>
  <c r="L23" i="8" s="1"/>
  <c r="N23" i="8" s="1"/>
  <c r="Q65" i="8"/>
  <c r="R61" i="8"/>
  <c r="R73" i="8"/>
  <c r="P69" i="8"/>
  <c r="S30" i="8"/>
  <c r="T30" i="8" s="1"/>
  <c r="J30" i="8" s="1"/>
  <c r="L30" i="8" s="1"/>
  <c r="P75" i="8"/>
  <c r="S31" i="8"/>
  <c r="T31" i="8" s="1"/>
  <c r="J31" i="8" s="1"/>
  <c r="L31" i="8" s="1"/>
  <c r="M31" i="8" s="1"/>
  <c r="S29" i="8"/>
  <c r="T29" i="8" s="1"/>
  <c r="J29" i="8" s="1"/>
  <c r="L29" i="8" s="1"/>
  <c r="M29" i="8" s="1"/>
  <c r="S27" i="8"/>
  <c r="T27" i="8" s="1"/>
  <c r="J27" i="8" s="1"/>
  <c r="L27" i="8" s="1"/>
  <c r="C76" i="8"/>
  <c r="S20" i="8"/>
  <c r="T20" i="8" s="1"/>
  <c r="J20" i="8" s="1"/>
  <c r="L20" i="8" s="1"/>
  <c r="L12" i="30"/>
  <c r="E24" i="28"/>
  <c r="E17" i="28"/>
  <c r="E14" i="28"/>
  <c r="E12" i="28"/>
  <c r="H16" i="31"/>
  <c r="E36" i="31" s="1"/>
  <c r="N33" i="35"/>
  <c r="S34" i="8"/>
  <c r="T34" i="8" s="1"/>
  <c r="J34" i="8" s="1"/>
  <c r="L34" i="8" s="1"/>
  <c r="Q66" i="8"/>
  <c r="S26" i="8"/>
  <c r="T26" i="8" s="1"/>
  <c r="J26" i="8" s="1"/>
  <c r="L26" i="8" s="1"/>
  <c r="Q68" i="8"/>
  <c r="S22" i="8"/>
  <c r="T22" i="8" s="1"/>
  <c r="J22" i="8" s="1"/>
  <c r="L22" i="8" s="1"/>
  <c r="M22" i="8" s="1"/>
  <c r="S32" i="8"/>
  <c r="T32" i="8" s="1"/>
  <c r="J32" i="8" s="1"/>
  <c r="L32" i="8" s="1"/>
  <c r="M32" i="8" s="1"/>
  <c r="Q81" i="8"/>
  <c r="Q77" i="8"/>
  <c r="R80" i="8"/>
  <c r="R60" i="8"/>
  <c r="E37" i="31"/>
  <c r="C62" i="8"/>
  <c r="C63" i="8"/>
  <c r="C61" i="8"/>
  <c r="R79" i="8"/>
  <c r="Q79" i="8"/>
  <c r="R77" i="8"/>
  <c r="R75" i="8"/>
  <c r="P74" i="8"/>
  <c r="Q73" i="8"/>
  <c r="P70" i="8"/>
  <c r="R69" i="8"/>
  <c r="S25" i="8"/>
  <c r="T25" i="8" s="1"/>
  <c r="J25" i="8" s="1"/>
  <c r="L25" i="8" s="1"/>
  <c r="N25" i="8" s="1"/>
  <c r="S21" i="8"/>
  <c r="T21" i="8" s="1"/>
  <c r="J21" i="8" s="1"/>
  <c r="L21" i="8" s="1"/>
  <c r="M21" i="8" s="1"/>
  <c r="S18" i="8"/>
  <c r="T18" i="8" s="1"/>
  <c r="J18" i="8" s="1"/>
  <c r="L18" i="8" s="1"/>
  <c r="S16" i="8"/>
  <c r="T16" i="8" s="1"/>
  <c r="J16" i="8" s="1"/>
  <c r="L16" i="8" s="1"/>
  <c r="S15" i="8"/>
  <c r="T15" i="8" s="1"/>
  <c r="J15" i="8" s="1"/>
  <c r="L15" i="8" s="1"/>
  <c r="I86" i="8"/>
  <c r="P81" i="8"/>
  <c r="I84" i="8"/>
  <c r="Q56" i="8"/>
  <c r="R56" i="8"/>
  <c r="R58" i="8"/>
  <c r="P62" i="8"/>
  <c r="P66" i="8"/>
  <c r="R70" i="8"/>
  <c r="I85" i="8"/>
  <c r="O43" i="8"/>
  <c r="K24" i="30"/>
  <c r="F31" i="28"/>
  <c r="D38" i="30"/>
  <c r="N35" i="8" l="1"/>
  <c r="M35" i="8"/>
  <c r="M27" i="8"/>
  <c r="M44" i="8" s="1"/>
  <c r="L44" i="8"/>
  <c r="L43" i="8"/>
  <c r="S71" i="8"/>
  <c r="T71" i="8" s="1"/>
  <c r="J71" i="8" s="1"/>
  <c r="L71" i="8" s="1"/>
  <c r="N71" i="8" s="1"/>
  <c r="N33" i="8"/>
  <c r="M15" i="8"/>
  <c r="S72" i="8"/>
  <c r="T72" i="8" s="1"/>
  <c r="J72" i="8" s="1"/>
  <c r="L72" i="8" s="1"/>
  <c r="M72" i="8" s="1"/>
  <c r="S62" i="8"/>
  <c r="T62" i="8" s="1"/>
  <c r="J62" i="8" s="1"/>
  <c r="L62" i="8" s="1"/>
  <c r="M62" i="8" s="1"/>
  <c r="S67" i="8"/>
  <c r="T67" i="8" s="1"/>
  <c r="J67" i="8" s="1"/>
  <c r="L67" i="8" s="1"/>
  <c r="M67" i="8" s="1"/>
  <c r="S64" i="8"/>
  <c r="T64" i="8" s="1"/>
  <c r="J64" i="8" s="1"/>
  <c r="L64" i="8" s="1"/>
  <c r="N64" i="8" s="1"/>
  <c r="S83" i="8"/>
  <c r="T83" i="8" s="1"/>
  <c r="J83" i="8" s="1"/>
  <c r="L83" i="8" s="1"/>
  <c r="N83" i="8" s="1"/>
  <c r="S63" i="8"/>
  <c r="T63" i="8" s="1"/>
  <c r="J63" i="8" s="1"/>
  <c r="L63" i="8" s="1"/>
  <c r="N63" i="8" s="1"/>
  <c r="M19" i="8"/>
  <c r="N19" i="8"/>
  <c r="M18" i="8"/>
  <c r="N18" i="8"/>
  <c r="N17" i="8"/>
  <c r="M17" i="8"/>
  <c r="S58" i="8"/>
  <c r="T58" i="8" s="1"/>
  <c r="J58" i="8" s="1"/>
  <c r="L58" i="8" s="1"/>
  <c r="N58" i="8" s="1"/>
  <c r="N16" i="8"/>
  <c r="M16" i="8"/>
  <c r="N15" i="8"/>
  <c r="S78" i="8"/>
  <c r="T78" i="8" s="1"/>
  <c r="J78" i="8" s="1"/>
  <c r="L78" i="8" s="1"/>
  <c r="M78" i="8" s="1"/>
  <c r="S57" i="8"/>
  <c r="T57" i="8" s="1"/>
  <c r="J57" i="8" s="1"/>
  <c r="L57" i="8" s="1"/>
  <c r="N57" i="8" s="1"/>
  <c r="S68" i="8"/>
  <c r="T68" i="8" s="1"/>
  <c r="J68" i="8" s="1"/>
  <c r="L68" i="8" s="1"/>
  <c r="N68" i="8" s="1"/>
  <c r="S59" i="8"/>
  <c r="T59" i="8" s="1"/>
  <c r="J59" i="8" s="1"/>
  <c r="L59" i="8" s="1"/>
  <c r="N59" i="8" s="1"/>
  <c r="N37" i="8"/>
  <c r="M37" i="8"/>
  <c r="S81" i="8"/>
  <c r="T81" i="8" s="1"/>
  <c r="J81" i="8" s="1"/>
  <c r="L81" i="8" s="1"/>
  <c r="N81" i="8" s="1"/>
  <c r="S70" i="8"/>
  <c r="T70" i="8" s="1"/>
  <c r="J70" i="8" s="1"/>
  <c r="L70" i="8" s="1"/>
  <c r="M70" i="8" s="1"/>
  <c r="S80" i="8"/>
  <c r="T80" i="8" s="1"/>
  <c r="J80" i="8" s="1"/>
  <c r="L80" i="8" s="1"/>
  <c r="M80" i="8" s="1"/>
  <c r="S60" i="8"/>
  <c r="T60" i="8" s="1"/>
  <c r="J60" i="8" s="1"/>
  <c r="L60" i="8" s="1"/>
  <c r="N60" i="8" s="1"/>
  <c r="S61" i="8"/>
  <c r="T61" i="8" s="1"/>
  <c r="J61" i="8" s="1"/>
  <c r="L61" i="8" s="1"/>
  <c r="N61" i="8" s="1"/>
  <c r="F33" i="28"/>
  <c r="F34" i="28" s="1"/>
  <c r="N28" i="8"/>
  <c r="S73" i="8"/>
  <c r="T73" i="8" s="1"/>
  <c r="J73" i="8" s="1"/>
  <c r="L73" i="8" s="1"/>
  <c r="N73" i="8" s="1"/>
  <c r="S65" i="8"/>
  <c r="T65" i="8" s="1"/>
  <c r="J65" i="8" s="1"/>
  <c r="L65" i="8" s="1"/>
  <c r="M65" i="8" s="1"/>
  <c r="S69" i="8"/>
  <c r="T69" i="8" s="1"/>
  <c r="J69" i="8" s="1"/>
  <c r="L69" i="8" s="1"/>
  <c r="M69" i="8" s="1"/>
  <c r="S74" i="8"/>
  <c r="T74" i="8" s="1"/>
  <c r="J74" i="8" s="1"/>
  <c r="L74" i="8" s="1"/>
  <c r="M74" i="8" s="1"/>
  <c r="S82" i="8"/>
  <c r="T82" i="8" s="1"/>
  <c r="J82" i="8" s="1"/>
  <c r="L82" i="8" s="1"/>
  <c r="N82" i="8" s="1"/>
  <c r="S79" i="8"/>
  <c r="T79" i="8" s="1"/>
  <c r="J79" i="8" s="1"/>
  <c r="L79" i="8" s="1"/>
  <c r="N79" i="8" s="1"/>
  <c r="N31" i="8"/>
  <c r="N36" i="8"/>
  <c r="N38" i="8"/>
  <c r="M38" i="8"/>
  <c r="S75" i="8"/>
  <c r="T75" i="8" s="1"/>
  <c r="J75" i="8" s="1"/>
  <c r="L75" i="8" s="1"/>
  <c r="M75" i="8" s="1"/>
  <c r="N30" i="8"/>
  <c r="M30" i="8"/>
  <c r="S66" i="8"/>
  <c r="T66" i="8" s="1"/>
  <c r="J66" i="8" s="1"/>
  <c r="L66" i="8" s="1"/>
  <c r="N66" i="8" s="1"/>
  <c r="N32" i="8"/>
  <c r="N29" i="8"/>
  <c r="D32" i="30"/>
  <c r="D33" i="30" s="1"/>
  <c r="F39" i="28"/>
  <c r="F40" i="28" s="1"/>
  <c r="M24" i="8"/>
  <c r="N22" i="8"/>
  <c r="M71" i="8"/>
  <c r="M76" i="8"/>
  <c r="S77" i="8"/>
  <c r="T77" i="8" s="1"/>
  <c r="J77" i="8" s="1"/>
  <c r="L77" i="8" s="1"/>
  <c r="M77" i="8" s="1"/>
  <c r="N27" i="8"/>
  <c r="N44" i="8" s="1"/>
  <c r="F16" i="28" s="1"/>
  <c r="M23" i="8"/>
  <c r="M25" i="8"/>
  <c r="N21" i="8"/>
  <c r="N26" i="8"/>
  <c r="M26" i="8"/>
  <c r="N20" i="8"/>
  <c r="M20" i="8"/>
  <c r="N34" i="8"/>
  <c r="M34" i="8"/>
  <c r="M33" i="8"/>
  <c r="M45" i="8" s="1"/>
  <c r="C77" i="8"/>
  <c r="E38" i="31"/>
  <c r="S56" i="8"/>
  <c r="T56" i="8" s="1"/>
  <c r="J56" i="8" s="1"/>
  <c r="L56" i="8" s="1"/>
  <c r="C64" i="8"/>
  <c r="D34" i="30"/>
  <c r="F42" i="28" s="1"/>
  <c r="M56" i="8" l="1"/>
  <c r="N45" i="8"/>
  <c r="M43" i="8"/>
  <c r="N43" i="8"/>
  <c r="F11" i="28" s="1"/>
  <c r="F13" i="28" s="1"/>
  <c r="F14" i="28" s="1"/>
  <c r="N72" i="8"/>
  <c r="N62" i="8"/>
  <c r="M83" i="8"/>
  <c r="N67" i="8"/>
  <c r="M64" i="8"/>
  <c r="M63" i="8"/>
  <c r="M58" i="8"/>
  <c r="M57" i="8"/>
  <c r="M68" i="8"/>
  <c r="L49" i="8"/>
  <c r="M49" i="8" s="1"/>
  <c r="N49" i="8" s="1"/>
  <c r="N78" i="8"/>
  <c r="M79" i="8"/>
  <c r="N70" i="8"/>
  <c r="M81" i="8"/>
  <c r="M61" i="8"/>
  <c r="M59" i="8"/>
  <c r="N80" i="8"/>
  <c r="M60" i="8"/>
  <c r="N74" i="8"/>
  <c r="N69" i="8"/>
  <c r="M73" i="8"/>
  <c r="N65" i="8"/>
  <c r="M82" i="8"/>
  <c r="N75" i="8"/>
  <c r="N77" i="8"/>
  <c r="M66" i="8"/>
  <c r="C78" i="8"/>
  <c r="N56" i="8"/>
  <c r="C65" i="8"/>
  <c r="F18" i="28" l="1"/>
  <c r="F19" i="28" s="1"/>
  <c r="F21" i="28"/>
  <c r="F23" i="28" s="1"/>
  <c r="F24" i="28" s="1"/>
  <c r="L50" i="8"/>
  <c r="M50" i="8" s="1"/>
  <c r="N50" i="8" s="1"/>
  <c r="L48" i="8"/>
  <c r="M48" i="8" s="1"/>
  <c r="N48" i="8" s="1"/>
  <c r="C79" i="8"/>
  <c r="C66" i="8"/>
  <c r="C80" i="8" l="1"/>
  <c r="L51" i="8"/>
  <c r="D39" i="30" s="1"/>
  <c r="C67" i="8"/>
  <c r="D41" i="30" l="1"/>
  <c r="D40" i="30"/>
  <c r="C81" i="8"/>
  <c r="C68" i="8"/>
  <c r="C82" i="8" l="1"/>
  <c r="C69" i="8"/>
  <c r="C83" i="8" l="1"/>
  <c r="C70" i="8"/>
  <c r="C71" i="8" l="1"/>
  <c r="C56" i="8" l="1"/>
  <c r="C72" i="8"/>
  <c r="C57" i="8" l="1"/>
  <c r="C73" i="8"/>
  <c r="C58" i="8" l="1"/>
  <c r="N86" i="8" l="1"/>
  <c r="L86" i="8"/>
  <c r="L85" i="8"/>
  <c r="M84" i="8"/>
  <c r="N85" i="8"/>
  <c r="M85" i="8"/>
  <c r="C59" i="8"/>
  <c r="N84" i="8" s="1"/>
  <c r="C60" i="8"/>
  <c r="L84" i="8" l="1"/>
  <c r="M8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Wagner de Abreu</author>
  </authors>
  <commentList>
    <comment ref="M24" authorId="0" shapeId="0" xr:uid="{BB74F4FC-6559-415C-89CD-34FD6CD6F518}">
      <text>
        <r>
          <rPr>
            <b/>
            <sz val="9"/>
            <color indexed="81"/>
            <rFont val="Segoe UI"/>
            <family val="2"/>
          </rPr>
          <t>Wagner de Abreu:</t>
        </r>
        <r>
          <rPr>
            <sz val="9"/>
            <color indexed="81"/>
            <rFont val="Segoe UI"/>
            <family val="2"/>
          </rPr>
          <t xml:space="preserve">
data 00/00/0000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7" authorId="0" shapeId="0" xr:uid="{A6A97F14-8365-45FA-B656-FE9D353DEDA5}">
      <text>
        <r>
          <rPr>
            <b/>
            <sz val="9"/>
            <color indexed="81"/>
            <rFont val="Segoe UI"/>
            <family val="2"/>
          </rPr>
          <t xml:space="preserve">Data da última retira de sludge por extenso.
Ex.: August 24th, 2024
</t>
        </r>
      </text>
    </comment>
    <comment ref="D28" authorId="0" shapeId="0" xr:uid="{3147544D-1A0F-4B3E-BF62-09BC554758D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Quanto tinha declarado de total de sludge na data da última retirada</t>
        </r>
      </text>
    </comment>
    <comment ref="D29" authorId="0" shapeId="0" xr:uid="{594C0D7A-3DFF-4E11-9091-6D099B3AC33F}">
      <text>
        <r>
          <rPr>
            <b/>
            <sz val="9"/>
            <color indexed="81"/>
            <rFont val="Segoe UI"/>
            <family val="2"/>
          </rPr>
          <t xml:space="preserve">Após a última retirada, quanto ficou retido a bordo.
</t>
        </r>
      </text>
    </comment>
    <comment ref="D30" authorId="0" shapeId="0" xr:uid="{2E088381-648C-4E89-B0A2-63CCCA0ADFE5}">
      <text>
        <r>
          <rPr>
            <b/>
            <sz val="9"/>
            <color indexed="81"/>
            <rFont val="Segoe UI"/>
            <family val="2"/>
          </rPr>
          <t>Quanto de sludge está declarado do Berthing Message</t>
        </r>
      </text>
    </comment>
  </commentList>
</comments>
</file>

<file path=xl/sharedStrings.xml><?xml version="1.0" encoding="utf-8"?>
<sst xmlns="http://schemas.openxmlformats.org/spreadsheetml/2006/main" count="672" uniqueCount="344">
  <si>
    <t>Yes</t>
  </si>
  <si>
    <t>VESSEL´S SOUNDING/ULLAGE REPORT</t>
  </si>
  <si>
    <t>Draft Aft:</t>
  </si>
  <si>
    <t>List:</t>
  </si>
  <si>
    <t>Grade</t>
  </si>
  <si>
    <t>Sounding</t>
  </si>
  <si>
    <t>Vol</t>
  </si>
  <si>
    <t>Free Water</t>
  </si>
  <si>
    <t>Dip</t>
  </si>
  <si>
    <t>Total</t>
  </si>
  <si>
    <t>Metric Tons</t>
  </si>
  <si>
    <t>CHIEF ENGINEER:</t>
  </si>
  <si>
    <t>GRADE</t>
  </si>
  <si>
    <t>Nil</t>
  </si>
  <si>
    <t>Density at 15C</t>
  </si>
  <si>
    <t>FCW Vacuo-Ar</t>
  </si>
  <si>
    <t>Trim Correction Applied:</t>
  </si>
  <si>
    <t>MT</t>
  </si>
  <si>
    <t>NA</t>
  </si>
  <si>
    <t>In Vac</t>
  </si>
  <si>
    <t>In Air</t>
  </si>
  <si>
    <t>Tank Nº</t>
  </si>
  <si>
    <t>Deg ºc</t>
  </si>
  <si>
    <t>Gross Obs Vol (m3)</t>
  </si>
  <si>
    <t xml:space="preserve">Total Obs  Vol (m3) </t>
  </si>
  <si>
    <t>VCF TABLE 54B</t>
  </si>
  <si>
    <t>Density         at 15deg</t>
  </si>
  <si>
    <t>Gross Std Vol    at 15Deg</t>
  </si>
  <si>
    <t>APOINTED SERVICE</t>
  </si>
  <si>
    <t>VESSEL</t>
  </si>
  <si>
    <t>CAPITAIN</t>
  </si>
  <si>
    <t>CHIEF ENGINEER</t>
  </si>
  <si>
    <t>GRADE 2</t>
  </si>
  <si>
    <t>Location of Survey</t>
  </si>
  <si>
    <t>Port</t>
  </si>
  <si>
    <t>TERMINAL</t>
  </si>
  <si>
    <t>PORT</t>
  </si>
  <si>
    <t>BEFORE DISPOSAL</t>
  </si>
  <si>
    <t>AFTER DISPOSAL</t>
  </si>
  <si>
    <t/>
  </si>
  <si>
    <t>VESSEL DETAILS</t>
  </si>
  <si>
    <t>IMO</t>
  </si>
  <si>
    <t>GRT</t>
  </si>
  <si>
    <t>DELIVERED</t>
  </si>
  <si>
    <t>FLAG</t>
  </si>
  <si>
    <t>QUANTITY</t>
  </si>
  <si>
    <t>%</t>
  </si>
  <si>
    <t>DESCRIPTION</t>
  </si>
  <si>
    <t>SLUDGE</t>
  </si>
  <si>
    <t>m3</t>
  </si>
  <si>
    <t>TOTAL</t>
  </si>
  <si>
    <t>m</t>
  </si>
  <si>
    <t>Adjusted (MT)</t>
  </si>
  <si>
    <t>LOG BOOK AUDIT</t>
  </si>
  <si>
    <t>FLOWMETERS READINGS</t>
  </si>
  <si>
    <t>Readings</t>
  </si>
  <si>
    <t>Grades</t>
  </si>
  <si>
    <t>Main Enginee</t>
  </si>
  <si>
    <t>Boiler</t>
  </si>
  <si>
    <t>Comments</t>
  </si>
  <si>
    <t>Previous Survey</t>
  </si>
  <si>
    <t>Actual survey</t>
  </si>
  <si>
    <t>Per Logbook</t>
  </si>
  <si>
    <t>Per Flowmeter</t>
  </si>
  <si>
    <t>Flowmeter Discrepancy</t>
  </si>
  <si>
    <t>Flowmeter Accourancy</t>
  </si>
  <si>
    <t>VOY</t>
  </si>
  <si>
    <t xml:space="preserve"> </t>
  </si>
  <si>
    <t>GRADE 3</t>
  </si>
  <si>
    <t>Sludge Production</t>
  </si>
  <si>
    <t>GRADE 4</t>
  </si>
  <si>
    <t>S.G.</t>
  </si>
  <si>
    <t>Difference</t>
  </si>
  <si>
    <t>Actual quantity as per surveyor</t>
  </si>
  <si>
    <t>Percentage</t>
  </si>
  <si>
    <t>TYPE:</t>
  </si>
  <si>
    <r>
      <t>Dif (m</t>
    </r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>)</t>
    </r>
  </si>
  <si>
    <t>TOTAL (MT)</t>
  </si>
  <si>
    <t xml:space="preserve">Name of Vessel                   </t>
  </si>
  <si>
    <t>MISCELLANEOUS</t>
  </si>
  <si>
    <t xml:space="preserve">Sludge - Last Disposal </t>
  </si>
  <si>
    <t>SLUDGE TANKS - SURVEYOR</t>
  </si>
  <si>
    <t>Sludge Retained Aft Last Disposal</t>
  </si>
  <si>
    <t xml:space="preserve">Name of Vessel                       </t>
  </si>
  <si>
    <t>NI</t>
  </si>
  <si>
    <t>Survey</t>
  </si>
  <si>
    <t>Diff</t>
  </si>
  <si>
    <t>Log book Consumption</t>
  </si>
  <si>
    <t>Logbook ROB (MT)</t>
  </si>
  <si>
    <t>mt</t>
  </si>
  <si>
    <t>Sludge Rate Production</t>
  </si>
  <si>
    <t>Sludge retained</t>
  </si>
  <si>
    <t>VESSEL´S RECORDS</t>
  </si>
  <si>
    <t>Sludge ROB at berthing</t>
  </si>
  <si>
    <t>SURVEYOR FIGURES</t>
  </si>
  <si>
    <t>Finish</t>
  </si>
  <si>
    <t>Pumping (in hours)</t>
  </si>
  <si>
    <t>Sludge rate - Pumping - m3/h</t>
  </si>
  <si>
    <t>QUANTITIES SUMMARY</t>
  </si>
  <si>
    <t>SLUDGE SUMMARY</t>
  </si>
  <si>
    <t>Tank</t>
  </si>
  <si>
    <t>SURVEYOR:</t>
  </si>
  <si>
    <t>Auxiliar Enginee</t>
  </si>
  <si>
    <t>Before Disposal</t>
  </si>
  <si>
    <t>After Disposal</t>
  </si>
  <si>
    <t>Last sludge discharge (date)</t>
  </si>
  <si>
    <t>Last sludge discharge quantity</t>
  </si>
  <si>
    <t>Sludge generated from last discharge</t>
  </si>
  <si>
    <t>IFO consumption since last sludge discharged</t>
  </si>
  <si>
    <t>Sludge generated percentage (including water)</t>
  </si>
  <si>
    <t>ROB of sludge after discharged</t>
  </si>
  <si>
    <t>Water in Sludge percentage</t>
  </si>
  <si>
    <t>GRADE 1</t>
  </si>
  <si>
    <t>R VLS</t>
  </si>
  <si>
    <t>Total R VLS</t>
  </si>
  <si>
    <t>CONSUMPTION REPORT</t>
  </si>
  <si>
    <t>Date</t>
  </si>
  <si>
    <t>Place</t>
  </si>
  <si>
    <t>BDN nº</t>
  </si>
  <si>
    <t>Bunkering * (MT)</t>
  </si>
  <si>
    <t>Bunkering *</t>
  </si>
  <si>
    <t>BILGE HT</t>
  </si>
  <si>
    <t>DOCUMENTS</t>
  </si>
  <si>
    <t>PURIFIERS SETTINGS</t>
  </si>
  <si>
    <t xml:space="preserve">Ship´s Particulars                                                                                                      </t>
  </si>
  <si>
    <t xml:space="preserve">Crew list                                                                                                                             </t>
  </si>
  <si>
    <t xml:space="preserve">Berthing message (VRS with ROB Bunker and Sludge)                                             </t>
  </si>
  <si>
    <t xml:space="preserve">Sludge message (Sent after disposal – Quantity landed/retained on board)              </t>
  </si>
  <si>
    <t xml:space="preserve">Copy of Oil Record Book (pages with last disposal and at berthing)                   </t>
  </si>
  <si>
    <t xml:space="preserve">Copy of last Survey Report performed                                                                 </t>
  </si>
  <si>
    <t>°C</t>
  </si>
  <si>
    <t>m³</t>
  </si>
  <si>
    <t>Sludge retained aft actual disposal</t>
  </si>
  <si>
    <t xml:space="preserve">REMARKS: </t>
  </si>
  <si>
    <t xml:space="preserve"> Others    (MT)</t>
  </si>
  <si>
    <t>Disposed</t>
  </si>
  <si>
    <t>Sludge retained after last discharge</t>
  </si>
  <si>
    <t>Surveyor arrived at terminal</t>
  </si>
  <si>
    <t>Surveyor authorized by Terminal to board vessel</t>
  </si>
  <si>
    <t xml:space="preserve">Surveyor on board            </t>
  </si>
  <si>
    <t>Opening soundings</t>
  </si>
  <si>
    <t>Documents signed</t>
  </si>
  <si>
    <t>Surveyor left board</t>
  </si>
  <si>
    <t>(ME)</t>
  </si>
  <si>
    <t>(AE)</t>
  </si>
  <si>
    <t>(BOILER)</t>
  </si>
  <si>
    <t>Quantity (MT)</t>
  </si>
  <si>
    <t>Copy of last flowmeter calibration certificate</t>
  </si>
  <si>
    <t xml:space="preserve">Calculation </t>
  </si>
  <si>
    <t>TOTAL CONSUMPTIONS SINCE LAST DISPOSAL SLUDGE SURVEY</t>
  </si>
  <si>
    <t>1st truck</t>
  </si>
  <si>
    <t xml:space="preserve">Draft Fore: </t>
  </si>
  <si>
    <t>Copy of last manual sounding</t>
  </si>
  <si>
    <t>DISTILLATES</t>
  </si>
  <si>
    <t>DIST</t>
  </si>
  <si>
    <t>Total DISTILLATES</t>
  </si>
  <si>
    <t>R HS</t>
  </si>
  <si>
    <t>Berthing Report</t>
  </si>
  <si>
    <t>Sludge at berthing - Berthing Report</t>
  </si>
  <si>
    <t>Sludge - Last Disposal Date</t>
  </si>
  <si>
    <t xml:space="preserve">Start </t>
  </si>
  <si>
    <t>Total R HS</t>
  </si>
  <si>
    <t>VRS</t>
  </si>
  <si>
    <t>DIGITAL FLOWMETER</t>
  </si>
  <si>
    <t>Date:</t>
  </si>
  <si>
    <t>Last manual sounding</t>
  </si>
  <si>
    <t>Attached:</t>
  </si>
  <si>
    <t>Version</t>
  </si>
  <si>
    <t>Trucks arrived</t>
  </si>
  <si>
    <t xml:space="preserve">Pumping operation     </t>
  </si>
  <si>
    <t>Started</t>
  </si>
  <si>
    <t>Completed</t>
  </si>
  <si>
    <t>OWNER</t>
  </si>
  <si>
    <t>MANAGER</t>
  </si>
  <si>
    <t>CALL SIGN</t>
  </si>
  <si>
    <t>TYPE</t>
  </si>
  <si>
    <t>NET</t>
  </si>
  <si>
    <t>Container Carrier</t>
  </si>
  <si>
    <t>Observações (Onde foram verificadas as temperaturas, se houve alguma intercorrência, etc)</t>
  </si>
  <si>
    <t xml:space="preserve">BDN - Bunker Delivered Notice (If bunkering between last disposal and the actual)                </t>
  </si>
  <si>
    <t>MSC SHIPMANAGEMENT LIMITED, LIMASSOL, CYPRUS</t>
  </si>
  <si>
    <t>Sludge discharged at Paranagua Port</t>
  </si>
  <si>
    <t>VLSFO</t>
  </si>
  <si>
    <t>SINGAPORE</t>
  </si>
  <si>
    <t>Tank Name</t>
    <phoneticPr fontId="8" type="noConversion"/>
  </si>
  <si>
    <t>Tank Capacity ( m³)</t>
    <phoneticPr fontId="8" type="noConversion"/>
  </si>
  <si>
    <t>Liquid</t>
    <phoneticPr fontId="8" type="noConversion"/>
  </si>
  <si>
    <t>Vapour</t>
    <phoneticPr fontId="8" type="noConversion"/>
  </si>
  <si>
    <t>Temp sensor 1</t>
    <phoneticPr fontId="8" type="noConversion"/>
  </si>
  <si>
    <t>Temp sensor 2</t>
  </si>
  <si>
    <t>Temp sensor 3</t>
  </si>
  <si>
    <t>Temp sensor 4</t>
  </si>
  <si>
    <t>Temp sensor 5</t>
  </si>
  <si>
    <t>Temp sensor 6</t>
  </si>
  <si>
    <t>Average Press (Pa)</t>
    <phoneticPr fontId="8" type="noConversion"/>
  </si>
  <si>
    <t>Average Level</t>
    <phoneticPr fontId="8" type="noConversion"/>
  </si>
  <si>
    <t>Corrected Volume</t>
    <phoneticPr fontId="8" type="noConversion"/>
  </si>
  <si>
    <t>Component (i)</t>
    <phoneticPr fontId="8" type="noConversion"/>
  </si>
  <si>
    <t>CH4</t>
    <phoneticPr fontId="8" type="noConversion"/>
  </si>
  <si>
    <t>C2H6</t>
    <phoneticPr fontId="8" type="noConversion"/>
  </si>
  <si>
    <t>C3H8</t>
    <phoneticPr fontId="8" type="noConversion"/>
  </si>
  <si>
    <t>i C4H10</t>
    <phoneticPr fontId="8" type="noConversion"/>
  </si>
  <si>
    <t>n C4H10</t>
    <phoneticPr fontId="8" type="noConversion"/>
  </si>
  <si>
    <t>i C5H12</t>
    <phoneticPr fontId="8" type="noConversion"/>
  </si>
  <si>
    <t>n C5H12</t>
    <phoneticPr fontId="8" type="noConversion"/>
  </si>
  <si>
    <t>N2</t>
    <phoneticPr fontId="8" type="noConversion"/>
  </si>
  <si>
    <t>n C6H14</t>
    <phoneticPr fontId="8" type="noConversion"/>
  </si>
  <si>
    <t>C02</t>
    <phoneticPr fontId="8" type="noConversion"/>
  </si>
  <si>
    <t>O2</t>
    <phoneticPr fontId="8" type="noConversion"/>
  </si>
  <si>
    <t>Molecular Weight (Mi)</t>
    <phoneticPr fontId="8" type="noConversion"/>
  </si>
  <si>
    <t>Mole fraction (Xi)</t>
    <phoneticPr fontId="8" type="noConversion"/>
  </si>
  <si>
    <t>MiXi</t>
    <phoneticPr fontId="8" type="noConversion"/>
  </si>
  <si>
    <t>M</t>
    <phoneticPr fontId="8" type="noConversion"/>
  </si>
  <si>
    <t>LNG</t>
  </si>
  <si>
    <t>LNG - Measuremente Report</t>
  </si>
  <si>
    <t>FO/DO</t>
  </si>
  <si>
    <t>Auxiliar Enginee 1</t>
  </si>
  <si>
    <t>Auxiliar Enginee 2</t>
  </si>
  <si>
    <t>Auxiliar Enginee 3</t>
  </si>
  <si>
    <t>Auxiliar Enginee 4</t>
  </si>
  <si>
    <t>REPORT OF ANALYSIS</t>
  </si>
  <si>
    <t>g/mol</t>
  </si>
  <si>
    <t>l/mol</t>
  </si>
  <si>
    <t>kg/m³</t>
  </si>
  <si>
    <t>SLUDGE TK</t>
  </si>
  <si>
    <t>LO DRAIN</t>
  </si>
  <si>
    <t>FO DRAIN</t>
  </si>
  <si>
    <t>GAUGE</t>
  </si>
  <si>
    <t>0,18 (S)</t>
  </si>
  <si>
    <t>0,12 (S)</t>
  </si>
  <si>
    <t>0,22 (S)</t>
  </si>
  <si>
    <t>0,10 (S)</t>
  </si>
  <si>
    <t>0,03 (S)</t>
  </si>
  <si>
    <t>0,00 (S)</t>
  </si>
  <si>
    <t>-</t>
  </si>
  <si>
    <t>SANTOS/BRAZIL</t>
  </si>
  <si>
    <t>Auxiliar Enginee 5</t>
  </si>
  <si>
    <t>Total (mt)</t>
  </si>
  <si>
    <t xml:space="preserve">Remarks: </t>
  </si>
  <si>
    <t>MSC SABRINA</t>
  </si>
  <si>
    <t>MM623R</t>
  </si>
  <si>
    <t>MUKESH MAHENDRA MIRANDA</t>
  </si>
  <si>
    <t>SIBI JESU ANTHONY</t>
  </si>
  <si>
    <t>A8CA7</t>
  </si>
  <si>
    <t>FO PURIFIRER</t>
  </si>
  <si>
    <t>LO PURIFIRER</t>
  </si>
  <si>
    <t>WO SERVICE 1</t>
  </si>
  <si>
    <t>RFC 2E94</t>
  </si>
  <si>
    <t>VLSFO SERV</t>
  </si>
  <si>
    <t>9,26 (S)</t>
  </si>
  <si>
    <t>LSMGO</t>
  </si>
  <si>
    <t>CHINA</t>
  </si>
  <si>
    <t>4,09 (S)</t>
  </si>
  <si>
    <t>1 x 2,0</t>
  </si>
  <si>
    <t>PORTO OF REGISTER</t>
  </si>
  <si>
    <t>ATTENDANCE</t>
  </si>
  <si>
    <t>VESSEL´S COMMAND</t>
  </si>
  <si>
    <t>SURVEYORS</t>
  </si>
  <si>
    <t>Time</t>
  </si>
  <si>
    <t>Key meeting</t>
  </si>
  <si>
    <t>Hose conected</t>
  </si>
  <si>
    <t>Closing soundings</t>
  </si>
  <si>
    <t>Check List</t>
  </si>
  <si>
    <t>TIME LOG AND CHECK LIST</t>
  </si>
  <si>
    <t>Updated</t>
  </si>
  <si>
    <t>Attached</t>
  </si>
  <si>
    <t>Logbook Updated</t>
  </si>
  <si>
    <t>TEMPERATURES</t>
  </si>
  <si>
    <t>Engine Room</t>
  </si>
  <si>
    <t>Sea Water</t>
  </si>
  <si>
    <t xml:space="preserve">MSC </t>
  </si>
  <si>
    <t>Difference btw logbook and FLM</t>
  </si>
  <si>
    <t>TRUCK DETAILS</t>
  </si>
  <si>
    <t xml:space="preserve">Name of Vessel                  </t>
  </si>
  <si>
    <t>ΣxiMi</t>
  </si>
  <si>
    <t xml:space="preserve">MMIX   </t>
  </si>
  <si>
    <t xml:space="preserve">VMIX    </t>
  </si>
  <si>
    <t xml:space="preserve">DLNG   </t>
  </si>
  <si>
    <t xml:space="preserve">MLIQUID </t>
  </si>
  <si>
    <t>MGAS</t>
  </si>
  <si>
    <t>Average Temp (Kelvin)</t>
  </si>
  <si>
    <t>Temp (Kelvin)</t>
  </si>
  <si>
    <t>ARMANDO JUNIOR</t>
  </si>
  <si>
    <t>3rd truck</t>
  </si>
  <si>
    <t>2nd truck</t>
  </si>
  <si>
    <r>
      <t>m</t>
    </r>
    <r>
      <rPr>
        <vertAlign val="superscript"/>
        <sz val="10"/>
        <rFont val="Arial"/>
        <family val="2"/>
      </rPr>
      <t>3</t>
    </r>
  </si>
  <si>
    <t>HFO 1P</t>
  </si>
  <si>
    <t>HFO 1S</t>
  </si>
  <si>
    <t>HFO 2P</t>
  </si>
  <si>
    <t>HFO 2S</t>
  </si>
  <si>
    <t>HFO 3P</t>
  </si>
  <si>
    <t>HFO 3S</t>
  </si>
  <si>
    <t>HFO SERV 1</t>
  </si>
  <si>
    <t>HFO SETT 1</t>
  </si>
  <si>
    <t>HFO SERTT 2</t>
  </si>
  <si>
    <t>HFO SERV 2</t>
  </si>
  <si>
    <t>HFO OFLOW</t>
  </si>
  <si>
    <t>HFO 3O</t>
  </si>
  <si>
    <t>HFO 4P</t>
  </si>
  <si>
    <t>HFO 4S</t>
  </si>
  <si>
    <t>HFO 5P</t>
  </si>
  <si>
    <t>HFO 5S</t>
  </si>
  <si>
    <t>VLSFO 6P</t>
  </si>
  <si>
    <t>VLSFO 6S</t>
  </si>
  <si>
    <t>MDO P</t>
  </si>
  <si>
    <t>NO</t>
  </si>
  <si>
    <t>Total DIST</t>
  </si>
  <si>
    <t>BERTHING MESSAGE</t>
  </si>
  <si>
    <t>DATE</t>
  </si>
  <si>
    <t>TIME</t>
  </si>
  <si>
    <t>Berthing message</t>
  </si>
  <si>
    <t>Logbook  (MT)</t>
  </si>
  <si>
    <t xml:space="preserve"> Others (MT)</t>
  </si>
  <si>
    <t xml:space="preserve"> Consump (MT)</t>
  </si>
  <si>
    <t>Logbook Consump (MT)</t>
  </si>
  <si>
    <t>Bunkering  (MT)</t>
  </si>
  <si>
    <t>h</t>
  </si>
  <si>
    <t>ROB + Sludge Disposal</t>
  </si>
  <si>
    <t>Display at ECR</t>
  </si>
  <si>
    <t>FULANO DE TAL</t>
  </si>
  <si>
    <t>LOA (m)</t>
  </si>
  <si>
    <t>LBP (m)</t>
  </si>
  <si>
    <t>BREADTH (m)</t>
  </si>
  <si>
    <t>DEPTH (m)</t>
  </si>
  <si>
    <t>LIGHT SHIP (t)</t>
  </si>
  <si>
    <t>x</t>
  </si>
  <si>
    <t>Description</t>
  </si>
  <si>
    <t>PARANAGUA</t>
  </si>
  <si>
    <t>MONROVIA</t>
  </si>
  <si>
    <t>QUEM SONDOU</t>
  </si>
  <si>
    <t>Liberia</t>
  </si>
  <si>
    <t>FO Serv &amp; Sett</t>
  </si>
  <si>
    <t>FO Storage tanks</t>
  </si>
  <si>
    <t>DO tanks</t>
  </si>
  <si>
    <t>Glass thermometer</t>
  </si>
  <si>
    <t>ER</t>
  </si>
  <si>
    <t>LAST ATTENDANCE</t>
  </si>
  <si>
    <t>Temperature (°C)</t>
  </si>
  <si>
    <t>Flow setting by each purifier (1 x 1,1m3)</t>
  </si>
  <si>
    <t>TERMINAL DE CONTAINER DE PARANAGUA</t>
  </si>
  <si>
    <t>Bowl disch freq. in minutes (60;120)</t>
  </si>
  <si>
    <t>YES</t>
  </si>
  <si>
    <t>Mtrs Sounding or Ullage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</si>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</sst>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#,##0.000"/>
    <numFmt numFmtId="165" formatCode="0.0"/>
    <numFmt numFmtId="166" formatCode="0.0000"/>
    <numFmt numFmtId="167" formatCode="0.000"/>
    <numFmt numFmtId="168" formatCode="_(* #,##0.000_);_(* \(#,##0.000\);_(* &quot;-&quot;??_);_(@_)"/>
    <numFmt numFmtId="169" formatCode="_-* #,##0.000_-;\-* #,##0.000_-;_-* &quot;-&quot;???_-;_-@_-"/>
    <numFmt numFmtId="170" formatCode="0.00000"/>
    <numFmt numFmtId="171" formatCode="General_)"/>
    <numFmt numFmtId="172" formatCode="h:mm;@"/>
    <numFmt numFmtId="173" formatCode="0.00_);[Red]\(0.00\)"/>
    <numFmt numFmtId="174" formatCode="0_);[Red]\(0\)"/>
    <numFmt numFmtId="175" formatCode="0.000_ "/>
    <numFmt numFmtId="176" formatCode="0.0000_ "/>
    <numFmt numFmtId="177" formatCode="0.000000_ "/>
    <numFmt numFmtId="178" formatCode="0.000000_);[Red]\(0.000000\)"/>
    <numFmt numFmtId="179" formatCode="dd/mm/yy;@"/>
    <numFmt numFmtId="180" formatCode="#,##0.000;[Red]#,##0.000"/>
  </numFmts>
  <fonts count="5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Cambria"/>
      <family val="1"/>
    </font>
    <font>
      <b/>
      <sz val="10"/>
      <name val="Arial"/>
      <family val="2"/>
    </font>
    <font>
      <b/>
      <sz val="12"/>
      <name val="Cambria"/>
      <family val="1"/>
    </font>
    <font>
      <sz val="10"/>
      <name val="Calibri"/>
      <family val="2"/>
    </font>
    <font>
      <vertAlign val="superscript"/>
      <sz val="10"/>
      <name val="Calibri"/>
      <family val="2"/>
    </font>
    <font>
      <sz val="9"/>
      <name val="Arial"/>
      <family val="2"/>
    </font>
    <font>
      <sz val="10"/>
      <name val="Courier"/>
      <charset val="178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color theme="0"/>
      <name val="Arial"/>
      <family val="2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Arial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30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30"/>
      <color rgb="FF002060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color rgb="FF002060"/>
      <name val="Arial"/>
      <family val="2"/>
    </font>
    <font>
      <sz val="10"/>
      <color indexed="56"/>
      <name val="Arial"/>
      <family val="2"/>
    </font>
    <font>
      <b/>
      <sz val="10"/>
      <color rgb="FF002060"/>
      <name val="Arial"/>
      <family val="2"/>
    </font>
    <font>
      <b/>
      <sz val="9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7" fillId="0" borderId="0"/>
    <xf numFmtId="171" fontId="14" fillId="0" borderId="0"/>
    <xf numFmtId="40" fontId="7" fillId="0" borderId="0" applyFill="0" applyBorder="0" applyAlignment="0" applyProtection="0"/>
    <xf numFmtId="0" fontId="3" fillId="0" borderId="0"/>
  </cellStyleXfs>
  <cellXfs count="439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21" fillId="0" borderId="0" xfId="5" applyFont="1"/>
    <xf numFmtId="0" fontId="22" fillId="0" borderId="0" xfId="5" applyFont="1"/>
    <xf numFmtId="0" fontId="22" fillId="0" borderId="0" xfId="1" applyFont="1" applyAlignment="1">
      <alignment vertical="center"/>
    </xf>
    <xf numFmtId="0" fontId="20" fillId="0" borderId="0" xfId="0" applyFont="1" applyAlignment="1" applyProtection="1">
      <alignment horizontal="left"/>
      <protection hidden="1"/>
    </xf>
    <xf numFmtId="0" fontId="19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0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2" fontId="23" fillId="0" borderId="0" xfId="0" applyNumberFormat="1" applyFont="1" applyProtection="1">
      <protection hidden="1"/>
    </xf>
    <xf numFmtId="0" fontId="20" fillId="0" borderId="1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3" borderId="0" xfId="0" applyFont="1" applyFill="1" applyProtection="1">
      <protection hidden="1"/>
    </xf>
    <xf numFmtId="165" fontId="20" fillId="3" borderId="0" xfId="0" applyNumberFormat="1" applyFont="1" applyFill="1" applyAlignment="1" applyProtection="1">
      <alignment horizontal="center"/>
      <protection locked="0"/>
    </xf>
    <xf numFmtId="0" fontId="6" fillId="0" borderId="0" xfId="0" applyFont="1"/>
    <xf numFmtId="0" fontId="20" fillId="0" borderId="0" xfId="0" applyFont="1" applyAlignment="1" applyProtection="1">
      <alignment horizontal="center"/>
      <protection hidden="1"/>
    </xf>
    <xf numFmtId="0" fontId="22" fillId="0" borderId="0" xfId="1" applyFont="1" applyAlignment="1">
      <alignment horizontal="center" vertical="center"/>
    </xf>
    <xf numFmtId="0" fontId="20" fillId="3" borderId="0" xfId="0" applyFont="1" applyFill="1" applyProtection="1">
      <protection locked="0"/>
    </xf>
    <xf numFmtId="0" fontId="20" fillId="0" borderId="0" xfId="0" quotePrefix="1" applyFont="1" applyProtection="1">
      <protection hidden="1"/>
    </xf>
    <xf numFmtId="0" fontId="6" fillId="0" borderId="0" xfId="0" applyFont="1" applyAlignment="1">
      <alignment horizontal="center"/>
    </xf>
    <xf numFmtId="0" fontId="10" fillId="0" borderId="0" xfId="0" applyFont="1"/>
    <xf numFmtId="0" fontId="19" fillId="0" borderId="0" xfId="0" applyFont="1" applyAlignment="1" applyProtection="1">
      <alignment horizontal="center"/>
      <protection hidden="1"/>
    </xf>
    <xf numFmtId="14" fontId="20" fillId="0" borderId="0" xfId="0" applyNumberFormat="1" applyFont="1" applyProtection="1">
      <protection hidden="1"/>
    </xf>
    <xf numFmtId="0" fontId="22" fillId="0" borderId="0" xfId="1" applyFont="1" applyAlignment="1">
      <alignment horizontal="right" vertical="center"/>
    </xf>
    <xf numFmtId="167" fontId="19" fillId="0" borderId="0" xfId="0" applyNumberFormat="1" applyFont="1" applyProtection="1">
      <protection hidden="1"/>
    </xf>
    <xf numFmtId="167" fontId="20" fillId="0" borderId="0" xfId="0" applyNumberFormat="1" applyFont="1" applyAlignment="1" applyProtection="1">
      <alignment horizontal="center"/>
      <protection hidden="1"/>
    </xf>
    <xf numFmtId="167" fontId="20" fillId="0" borderId="0" xfId="0" applyNumberFormat="1" applyFont="1" applyProtection="1">
      <protection hidden="1"/>
    </xf>
    <xf numFmtId="2" fontId="9" fillId="3" borderId="0" xfId="0" applyNumberFormat="1" applyFont="1" applyFill="1" applyAlignment="1">
      <alignment horizontal="center"/>
    </xf>
    <xf numFmtId="164" fontId="20" fillId="0" borderId="0" xfId="0" applyNumberFormat="1" applyFont="1" applyProtection="1">
      <protection hidden="1"/>
    </xf>
    <xf numFmtId="0" fontId="9" fillId="3" borderId="0" xfId="0" applyFont="1" applyFill="1" applyAlignment="1">
      <alignment horizontal="center"/>
    </xf>
    <xf numFmtId="169" fontId="19" fillId="0" borderId="0" xfId="0" applyNumberFormat="1" applyFont="1" applyProtection="1">
      <protection hidden="1"/>
    </xf>
    <xf numFmtId="167" fontId="19" fillId="0" borderId="0" xfId="0" applyNumberFormat="1" applyFont="1" applyAlignment="1" applyProtection="1">
      <alignment horizontal="center"/>
      <protection hidden="1"/>
    </xf>
    <xf numFmtId="2" fontId="0" fillId="0" borderId="0" xfId="0" applyNumberFormat="1" applyAlignment="1">
      <alignment horizontal="center"/>
    </xf>
    <xf numFmtId="0" fontId="24" fillId="0" borderId="0" xfId="0" applyFont="1"/>
    <xf numFmtId="0" fontId="19" fillId="0" borderId="0" xfId="0" applyFont="1" applyAlignment="1" applyProtection="1">
      <alignment horizontal="left"/>
      <protection hidden="1"/>
    </xf>
    <xf numFmtId="14" fontId="20" fillId="3" borderId="0" xfId="0" applyNumberFormat="1" applyFont="1" applyFill="1" applyProtection="1">
      <protection hidden="1"/>
    </xf>
    <xf numFmtId="4" fontId="20" fillId="0" borderId="0" xfId="0" applyNumberFormat="1" applyFont="1" applyProtection="1">
      <protection hidden="1"/>
    </xf>
    <xf numFmtId="164" fontId="20" fillId="0" borderId="0" xfId="0" applyNumberFormat="1" applyFont="1" applyAlignment="1" applyProtection="1">
      <alignment horizontal="center"/>
      <protection hidden="1"/>
    </xf>
    <xf numFmtId="4" fontId="20" fillId="0" borderId="0" xfId="0" applyNumberFormat="1" applyFont="1" applyAlignment="1" applyProtection="1">
      <alignment horizontal="center"/>
      <protection hidden="1"/>
    </xf>
    <xf numFmtId="0" fontId="24" fillId="3" borderId="0" xfId="0" applyFont="1" applyFill="1"/>
    <xf numFmtId="171" fontId="20" fillId="0" borderId="0" xfId="6" applyFont="1" applyProtection="1">
      <protection hidden="1"/>
    </xf>
    <xf numFmtId="171" fontId="19" fillId="0" borderId="0" xfId="6" applyFont="1" applyProtection="1">
      <protection hidden="1"/>
    </xf>
    <xf numFmtId="171" fontId="19" fillId="0" borderId="0" xfId="6" applyFont="1" applyAlignment="1" applyProtection="1">
      <alignment horizontal="right"/>
      <protection hidden="1"/>
    </xf>
    <xf numFmtId="171" fontId="20" fillId="0" borderId="0" xfId="6" applyFont="1" applyAlignment="1" applyProtection="1">
      <alignment horizontal="left"/>
      <protection hidden="1"/>
    </xf>
    <xf numFmtId="171" fontId="20" fillId="3" borderId="0" xfId="6" applyFont="1" applyFill="1" applyProtection="1">
      <protection locked="0"/>
    </xf>
    <xf numFmtId="171" fontId="20" fillId="3" borderId="0" xfId="6" applyFont="1" applyFill="1" applyProtection="1">
      <protection hidden="1"/>
    </xf>
    <xf numFmtId="171" fontId="20" fillId="0" borderId="1" xfId="6" applyFont="1" applyBorder="1" applyProtection="1">
      <protection locked="0"/>
    </xf>
    <xf numFmtId="171" fontId="20" fillId="3" borderId="0" xfId="6" applyFont="1" applyFill="1" applyAlignment="1" applyProtection="1">
      <alignment horizontal="left"/>
      <protection hidden="1"/>
    </xf>
    <xf numFmtId="171" fontId="19" fillId="3" borderId="0" xfId="6" applyFont="1" applyFill="1" applyProtection="1">
      <protection hidden="1"/>
    </xf>
    <xf numFmtId="171" fontId="23" fillId="3" borderId="0" xfId="6" applyFont="1" applyFill="1" applyProtection="1">
      <protection hidden="1"/>
    </xf>
    <xf numFmtId="166" fontId="20" fillId="3" borderId="0" xfId="6" applyNumberFormat="1" applyFont="1" applyFill="1" applyProtection="1">
      <protection hidden="1"/>
    </xf>
    <xf numFmtId="171" fontId="25" fillId="3" borderId="0" xfId="6" applyFont="1" applyFill="1" applyAlignment="1" applyProtection="1">
      <alignment horizontal="left"/>
      <protection hidden="1"/>
    </xf>
    <xf numFmtId="171" fontId="25" fillId="3" borderId="0" xfId="6" applyFont="1" applyFill="1" applyAlignment="1" applyProtection="1">
      <alignment horizontal="center"/>
      <protection hidden="1"/>
    </xf>
    <xf numFmtId="171" fontId="20" fillId="3" borderId="0" xfId="6" applyFont="1" applyFill="1" applyAlignment="1" applyProtection="1">
      <alignment horizontal="center"/>
      <protection hidden="1"/>
    </xf>
    <xf numFmtId="0" fontId="27" fillId="0" borderId="0" xfId="0" applyFont="1"/>
    <xf numFmtId="0" fontId="28" fillId="0" borderId="0" xfId="0" applyFont="1"/>
    <xf numFmtId="172" fontId="20" fillId="3" borderId="0" xfId="0" applyNumberFormat="1" applyFont="1" applyFill="1" applyProtection="1">
      <protection hidden="1"/>
    </xf>
    <xf numFmtId="167" fontId="20" fillId="0" borderId="5" xfId="0" applyNumberFormat="1" applyFont="1" applyBorder="1" applyAlignment="1" applyProtection="1">
      <alignment horizontal="center"/>
      <protection hidden="1"/>
    </xf>
    <xf numFmtId="171" fontId="25" fillId="0" borderId="0" xfId="6" applyFont="1" applyProtection="1">
      <protection hidden="1"/>
    </xf>
    <xf numFmtId="0" fontId="30" fillId="0" borderId="0" xfId="0" applyFont="1"/>
    <xf numFmtId="20" fontId="0" fillId="0" borderId="0" xfId="0" applyNumberFormat="1" applyAlignment="1">
      <alignment horizontal="center"/>
    </xf>
    <xf numFmtId="2" fontId="31" fillId="0" borderId="0" xfId="0" applyNumberFormat="1" applyFont="1" applyProtection="1">
      <protection hidden="1"/>
    </xf>
    <xf numFmtId="0" fontId="20" fillId="0" borderId="9" xfId="0" applyFont="1" applyBorder="1" applyProtection="1">
      <protection hidden="1"/>
    </xf>
    <xf numFmtId="4" fontId="20" fillId="0" borderId="5" xfId="0" applyNumberFormat="1" applyFont="1" applyBorder="1" applyAlignment="1" applyProtection="1">
      <alignment horizontal="center"/>
      <protection hidden="1"/>
    </xf>
    <xf numFmtId="167" fontId="31" fillId="0" borderId="0" xfId="0" applyNumberFormat="1" applyFont="1" applyProtection="1">
      <protection hidden="1"/>
    </xf>
    <xf numFmtId="2" fontId="24" fillId="3" borderId="0" xfId="0" applyNumberFormat="1" applyFont="1" applyFill="1"/>
    <xf numFmtId="0" fontId="9" fillId="3" borderId="0" xfId="0" applyFont="1" applyFill="1"/>
    <xf numFmtId="0" fontId="19" fillId="3" borderId="0" xfId="0" applyFont="1" applyFill="1" applyAlignment="1" applyProtection="1">
      <alignment horizontal="right"/>
      <protection hidden="1"/>
    </xf>
    <xf numFmtId="170" fontId="20" fillId="3" borderId="0" xfId="0" applyNumberFormat="1" applyFont="1" applyFill="1" applyProtection="1">
      <protection hidden="1"/>
    </xf>
    <xf numFmtId="167" fontId="20" fillId="3" borderId="0" xfId="0" applyNumberFormat="1" applyFont="1" applyFill="1" applyProtection="1">
      <protection hidden="1"/>
    </xf>
    <xf numFmtId="0" fontId="28" fillId="3" borderId="0" xfId="0" applyFont="1" applyFill="1"/>
    <xf numFmtId="0" fontId="32" fillId="0" borderId="0" xfId="0" applyFont="1" applyProtection="1">
      <protection hidden="1"/>
    </xf>
    <xf numFmtId="164" fontId="32" fillId="0" borderId="0" xfId="0" applyNumberFormat="1" applyFont="1" applyProtection="1">
      <protection hidden="1"/>
    </xf>
    <xf numFmtId="14" fontId="20" fillId="3" borderId="0" xfId="0" applyNumberFormat="1" applyFont="1" applyFill="1" applyAlignment="1" applyProtection="1">
      <alignment horizontal="center"/>
      <protection hidden="1"/>
    </xf>
    <xf numFmtId="0" fontId="20" fillId="3" borderId="0" xfId="0" applyFont="1" applyFill="1" applyAlignment="1" applyProtection="1">
      <alignment horizontal="left"/>
      <protection locked="0"/>
    </xf>
    <xf numFmtId="164" fontId="20" fillId="3" borderId="5" xfId="0" applyNumberFormat="1" applyFont="1" applyFill="1" applyBorder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4" fillId="3" borderId="5" xfId="0" applyFont="1" applyFill="1" applyBorder="1"/>
    <xf numFmtId="2" fontId="4" fillId="3" borderId="5" xfId="0" applyNumberFormat="1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/>
    </xf>
    <xf numFmtId="171" fontId="20" fillId="3" borderId="5" xfId="6" applyFont="1" applyFill="1" applyBorder="1" applyAlignment="1" applyProtection="1">
      <alignment horizontal="center"/>
      <protection hidden="1"/>
    </xf>
    <xf numFmtId="2" fontId="20" fillId="0" borderId="0" xfId="0" applyNumberFormat="1" applyFont="1" applyProtection="1">
      <protection hidden="1"/>
    </xf>
    <xf numFmtId="0" fontId="25" fillId="0" borderId="1" xfId="0" applyFont="1" applyBorder="1" applyAlignment="1" applyProtection="1">
      <alignment horizontal="center"/>
      <protection hidden="1"/>
    </xf>
    <xf numFmtId="14" fontId="20" fillId="3" borderId="5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172" fontId="20" fillId="3" borderId="0" xfId="6" applyNumberFormat="1" applyFont="1" applyFill="1" applyProtection="1">
      <protection locked="0"/>
    </xf>
    <xf numFmtId="172" fontId="20" fillId="3" borderId="0" xfId="6" applyNumberFormat="1" applyFont="1" applyFill="1" applyAlignment="1" applyProtection="1">
      <alignment horizontal="center"/>
      <protection locked="0"/>
    </xf>
    <xf numFmtId="171" fontId="19" fillId="3" borderId="5" xfId="6" applyFont="1" applyFill="1" applyBorder="1" applyAlignment="1" applyProtection="1">
      <alignment horizontal="center"/>
      <protection hidden="1"/>
    </xf>
    <xf numFmtId="171" fontId="20" fillId="0" borderId="5" xfId="6" applyFont="1" applyBorder="1" applyAlignment="1" applyProtection="1">
      <alignment horizontal="center"/>
      <protection hidden="1"/>
    </xf>
    <xf numFmtId="0" fontId="36" fillId="0" borderId="0" xfId="0" applyFont="1"/>
    <xf numFmtId="171" fontId="37" fillId="3" borderId="0" xfId="6" applyFont="1" applyFill="1" applyProtection="1">
      <protection hidden="1"/>
    </xf>
    <xf numFmtId="0" fontId="29" fillId="3" borderId="0" xfId="0" applyFont="1" applyFill="1"/>
    <xf numFmtId="0" fontId="38" fillId="0" borderId="0" xfId="0" applyFont="1"/>
    <xf numFmtId="0" fontId="26" fillId="0" borderId="0" xfId="0" applyFont="1" applyProtection="1">
      <protection hidden="1"/>
    </xf>
    <xf numFmtId="0" fontId="37" fillId="0" borderId="0" xfId="0" applyFont="1" applyProtection="1">
      <protection hidden="1"/>
    </xf>
    <xf numFmtId="0" fontId="35" fillId="0" borderId="0" xfId="5" applyFont="1" applyAlignment="1">
      <alignment vertical="center"/>
    </xf>
    <xf numFmtId="0" fontId="39" fillId="0" borderId="0" xfId="5" applyFont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20" fontId="4" fillId="0" borderId="0" xfId="0" applyNumberFormat="1" applyFont="1"/>
    <xf numFmtId="167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horizontal="center"/>
    </xf>
    <xf numFmtId="14" fontId="37" fillId="0" borderId="0" xfId="0" applyNumberFormat="1" applyFont="1" applyProtection="1">
      <protection hidden="1"/>
    </xf>
    <xf numFmtId="0" fontId="37" fillId="0" borderId="0" xfId="0" applyFont="1"/>
    <xf numFmtId="0" fontId="37" fillId="3" borderId="0" xfId="0" applyFont="1" applyFill="1" applyProtection="1">
      <protection hidden="1"/>
    </xf>
    <xf numFmtId="0" fontId="2" fillId="0" borderId="0" xfId="8" applyFont="1" applyProtection="1">
      <protection locked="0"/>
    </xf>
    <xf numFmtId="0" fontId="42" fillId="0" borderId="5" xfId="8" applyFont="1" applyBorder="1" applyAlignment="1" applyProtection="1">
      <alignment vertical="center"/>
      <protection locked="0"/>
    </xf>
    <xf numFmtId="0" fontId="2" fillId="0" borderId="0" xfId="8" applyFont="1" applyAlignment="1" applyProtection="1">
      <alignment horizontal="center"/>
      <protection locked="0"/>
    </xf>
    <xf numFmtId="177" fontId="2" fillId="0" borderId="6" xfId="8" applyNumberFormat="1" applyFont="1" applyBorder="1" applyAlignment="1">
      <alignment horizontal="center" vertical="center"/>
    </xf>
    <xf numFmtId="0" fontId="41" fillId="0" borderId="5" xfId="8" applyFont="1" applyBorder="1" applyProtection="1">
      <protection locked="0"/>
    </xf>
    <xf numFmtId="0" fontId="41" fillId="0" borderId="5" xfId="8" applyFont="1" applyBorder="1" applyAlignment="1" applyProtection="1">
      <alignment vertical="center"/>
      <protection locked="0"/>
    </xf>
    <xf numFmtId="0" fontId="43" fillId="0" borderId="5" xfId="8" applyFont="1" applyBorder="1" applyAlignment="1" applyProtection="1">
      <alignment horizontal="center"/>
      <protection locked="0"/>
    </xf>
    <xf numFmtId="0" fontId="2" fillId="0" borderId="5" xfId="8" applyFont="1" applyBorder="1" applyAlignment="1" applyProtection="1">
      <alignment vertical="center"/>
      <protection locked="0"/>
    </xf>
    <xf numFmtId="173" fontId="2" fillId="0" borderId="5" xfId="8" applyNumberFormat="1" applyFont="1" applyBorder="1" applyAlignment="1" applyProtection="1">
      <alignment horizontal="center"/>
      <protection locked="0"/>
    </xf>
    <xf numFmtId="0" fontId="41" fillId="0" borderId="0" xfId="8" applyFont="1" applyAlignment="1" applyProtection="1">
      <alignment vertical="center"/>
      <protection locked="0"/>
    </xf>
    <xf numFmtId="173" fontId="2" fillId="0" borderId="0" xfId="8" applyNumberFormat="1" applyFont="1" applyAlignment="1" applyProtection="1">
      <alignment horizontal="center"/>
      <protection locked="0"/>
    </xf>
    <xf numFmtId="176" fontId="2" fillId="0" borderId="5" xfId="8" applyNumberFormat="1" applyFont="1" applyBorder="1" applyAlignment="1">
      <alignment horizontal="center" vertical="center" wrapText="1"/>
    </xf>
    <xf numFmtId="0" fontId="2" fillId="0" borderId="0" xfId="8" applyFont="1"/>
    <xf numFmtId="0" fontId="2" fillId="0" borderId="0" xfId="8" applyFont="1" applyAlignment="1">
      <alignment vertical="center"/>
    </xf>
    <xf numFmtId="14" fontId="37" fillId="0" borderId="0" xfId="0" applyNumberFormat="1" applyFont="1" applyAlignment="1" applyProtection="1">
      <alignment horizontal="center"/>
      <protection hidden="1"/>
    </xf>
    <xf numFmtId="0" fontId="26" fillId="3" borderId="0" xfId="0" applyFont="1" applyFill="1" applyAlignment="1" applyProtection="1">
      <alignment horizontal="right"/>
      <protection hidden="1"/>
    </xf>
    <xf numFmtId="164" fontId="37" fillId="0" borderId="0" xfId="0" applyNumberFormat="1" applyFont="1" applyProtection="1">
      <protection hidden="1"/>
    </xf>
    <xf numFmtId="165" fontId="37" fillId="0" borderId="0" xfId="0" applyNumberFormat="1" applyFont="1" applyProtection="1">
      <protection hidden="1"/>
    </xf>
    <xf numFmtId="0" fontId="9" fillId="4" borderId="0" xfId="0" applyFont="1" applyFill="1" applyAlignment="1">
      <alignment horizontal="center"/>
    </xf>
    <xf numFmtId="0" fontId="4" fillId="0" borderId="0" xfId="0" applyFont="1" applyProtection="1">
      <protection hidden="1"/>
    </xf>
    <xf numFmtId="0" fontId="4" fillId="3" borderId="6" xfId="0" applyFont="1" applyFill="1" applyBorder="1"/>
    <xf numFmtId="167" fontId="4" fillId="3" borderId="0" xfId="0" applyNumberFormat="1" applyFont="1" applyFill="1" applyAlignment="1">
      <alignment horizontal="center"/>
    </xf>
    <xf numFmtId="0" fontId="4" fillId="0" borderId="1" xfId="0" applyFont="1" applyBorder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9" fillId="0" borderId="0" xfId="0" applyFont="1" applyAlignment="1" applyProtection="1">
      <alignment horizontal="left"/>
      <protection hidden="1"/>
    </xf>
    <xf numFmtId="0" fontId="9" fillId="0" borderId="0" xfId="0" applyFont="1" applyAlignment="1" applyProtection="1">
      <alignment horizontal="center"/>
      <protection hidden="1"/>
    </xf>
    <xf numFmtId="14" fontId="4" fillId="0" borderId="0" xfId="0" applyNumberFormat="1" applyFont="1" applyProtection="1">
      <protection hidden="1"/>
    </xf>
    <xf numFmtId="0" fontId="4" fillId="3" borderId="0" xfId="0" applyFont="1" applyFill="1" applyProtection="1">
      <protection locked="0"/>
    </xf>
    <xf numFmtId="0" fontId="4" fillId="3" borderId="0" xfId="0" applyFont="1" applyFill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9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13" fillId="0" borderId="1" xfId="0" applyFont="1" applyBorder="1" applyProtection="1">
      <protection hidden="1"/>
    </xf>
    <xf numFmtId="0" fontId="4" fillId="3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2" fontId="4" fillId="0" borderId="5" xfId="0" applyNumberFormat="1" applyFont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167" fontId="4" fillId="3" borderId="8" xfId="0" applyNumberFormat="1" applyFont="1" applyFill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6" xfId="0" applyFont="1" applyBorder="1"/>
    <xf numFmtId="0" fontId="4" fillId="0" borderId="17" xfId="0" applyFont="1" applyBorder="1" applyAlignment="1">
      <alignment horizontal="center"/>
    </xf>
    <xf numFmtId="0" fontId="0" fillId="0" borderId="13" xfId="0" applyBorder="1"/>
    <xf numFmtId="2" fontId="4" fillId="3" borderId="19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 applyProtection="1">
      <alignment horizontal="center"/>
      <protection hidden="1"/>
    </xf>
    <xf numFmtId="0" fontId="20" fillId="0" borderId="7" xfId="0" applyFont="1" applyBorder="1" applyAlignment="1" applyProtection="1">
      <alignment horizontal="center"/>
      <protection hidden="1"/>
    </xf>
    <xf numFmtId="164" fontId="20" fillId="0" borderId="5" xfId="0" applyNumberFormat="1" applyFont="1" applyBorder="1" applyAlignment="1" applyProtection="1">
      <alignment horizontal="center"/>
      <protection hidden="1"/>
    </xf>
    <xf numFmtId="0" fontId="20" fillId="3" borderId="5" xfId="0" applyFont="1" applyFill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20" fillId="3" borderId="5" xfId="0" applyFont="1" applyFill="1" applyBorder="1" applyAlignment="1" applyProtection="1">
      <alignment horizontal="center" vertical="center" wrapText="1"/>
      <protection hidden="1"/>
    </xf>
    <xf numFmtId="0" fontId="20" fillId="3" borderId="5" xfId="0" applyFont="1" applyFill="1" applyBorder="1" applyAlignment="1" applyProtection="1">
      <alignment horizontal="center" vertical="center"/>
      <protection hidden="1"/>
    </xf>
    <xf numFmtId="14" fontId="20" fillId="0" borderId="5" xfId="0" applyNumberFormat="1" applyFont="1" applyBorder="1" applyAlignment="1" applyProtection="1">
      <alignment horizontal="center"/>
      <protection hidden="1"/>
    </xf>
    <xf numFmtId="164" fontId="20" fillId="0" borderId="5" xfId="0" applyNumberFormat="1" applyFont="1" applyBorder="1" applyAlignment="1" applyProtection="1">
      <alignment horizontal="center" vertical="center"/>
      <protection hidden="1"/>
    </xf>
    <xf numFmtId="167" fontId="20" fillId="3" borderId="4" xfId="0" applyNumberFormat="1" applyFont="1" applyFill="1" applyBorder="1" applyAlignment="1" applyProtection="1">
      <alignment horizontal="center"/>
      <protection hidden="1"/>
    </xf>
    <xf numFmtId="0" fontId="20" fillId="0" borderId="5" xfId="0" applyFont="1" applyBorder="1" applyProtection="1">
      <protection hidden="1"/>
    </xf>
    <xf numFmtId="164" fontId="20" fillId="0" borderId="6" xfId="0" applyNumberFormat="1" applyFont="1" applyBorder="1" applyAlignment="1" applyProtection="1">
      <alignment horizontal="center"/>
      <protection hidden="1"/>
    </xf>
    <xf numFmtId="4" fontId="20" fillId="0" borderId="6" xfId="0" applyNumberFormat="1" applyFont="1" applyBorder="1" applyAlignment="1" applyProtection="1">
      <alignment horizontal="center"/>
      <protection hidden="1"/>
    </xf>
    <xf numFmtId="0" fontId="20" fillId="0" borderId="20" xfId="0" applyFont="1" applyBorder="1" applyAlignment="1" applyProtection="1">
      <alignment horizontal="center" vertical="center" wrapText="1"/>
      <protection hidden="1"/>
    </xf>
    <xf numFmtId="0" fontId="20" fillId="0" borderId="14" xfId="0" applyFont="1" applyBorder="1" applyAlignment="1" applyProtection="1">
      <alignment horizontal="center" vertical="center" wrapText="1"/>
      <protection hidden="1"/>
    </xf>
    <xf numFmtId="14" fontId="20" fillId="0" borderId="11" xfId="0" applyNumberFormat="1" applyFont="1" applyBorder="1" applyAlignment="1" applyProtection="1">
      <alignment horizontal="center" vertical="center" wrapText="1"/>
      <protection hidden="1"/>
    </xf>
    <xf numFmtId="14" fontId="20" fillId="0" borderId="10" xfId="0" applyNumberFormat="1" applyFont="1" applyBorder="1" applyAlignment="1" applyProtection="1">
      <alignment horizontal="center" vertical="center" wrapText="1"/>
      <protection hidden="1"/>
    </xf>
    <xf numFmtId="0" fontId="20" fillId="0" borderId="4" xfId="0" applyFont="1" applyBorder="1" applyAlignment="1" applyProtection="1">
      <alignment horizontal="center" vertical="center" wrapText="1"/>
      <protection hidden="1"/>
    </xf>
    <xf numFmtId="14" fontId="20" fillId="0" borderId="6" xfId="0" applyNumberFormat="1" applyFont="1" applyBorder="1" applyAlignment="1" applyProtection="1">
      <alignment horizontal="center" vertical="center" wrapText="1"/>
      <protection hidden="1"/>
    </xf>
    <xf numFmtId="14" fontId="20" fillId="3" borderId="11" xfId="0" applyNumberFormat="1" applyFont="1" applyFill="1" applyBorder="1" applyAlignment="1" applyProtection="1">
      <alignment horizontal="center" vertical="center" wrapText="1"/>
      <protection hidden="1"/>
    </xf>
    <xf numFmtId="20" fontId="20" fillId="3" borderId="10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5" xfId="8" applyFont="1" applyBorder="1" applyAlignment="1">
      <alignment horizontal="center"/>
    </xf>
    <xf numFmtId="177" fontId="2" fillId="0" borderId="5" xfId="8" applyNumberFormat="1" applyFont="1" applyBorder="1" applyAlignment="1">
      <alignment horizontal="center"/>
    </xf>
    <xf numFmtId="0" fontId="37" fillId="0" borderId="5" xfId="0" applyFont="1" applyBorder="1" applyAlignment="1" applyProtection="1">
      <alignment horizontal="center"/>
      <protection hidden="1"/>
    </xf>
    <xf numFmtId="164" fontId="37" fillId="0" borderId="5" xfId="0" applyNumberFormat="1" applyFont="1" applyBorder="1" applyAlignment="1" applyProtection="1">
      <alignment horizontal="center"/>
      <protection hidden="1"/>
    </xf>
    <xf numFmtId="4" fontId="37" fillId="0" borderId="5" xfId="0" applyNumberFormat="1" applyFont="1" applyBorder="1" applyAlignment="1" applyProtection="1">
      <alignment horizontal="center"/>
      <protection hidden="1"/>
    </xf>
    <xf numFmtId="164" fontId="37" fillId="3" borderId="5" xfId="0" applyNumberFormat="1" applyFont="1" applyFill="1" applyBorder="1" applyAlignment="1" applyProtection="1">
      <alignment horizontal="center"/>
      <protection hidden="1"/>
    </xf>
    <xf numFmtId="0" fontId="37" fillId="0" borderId="5" xfId="0" applyFont="1" applyBorder="1" applyAlignment="1" applyProtection="1">
      <alignment horizontal="center" vertical="center"/>
      <protection hidden="1"/>
    </xf>
    <xf numFmtId="0" fontId="37" fillId="3" borderId="5" xfId="0" applyFont="1" applyFill="1" applyBorder="1" applyAlignment="1" applyProtection="1">
      <alignment horizontal="center" vertical="center" wrapText="1"/>
      <protection hidden="1"/>
    </xf>
    <xf numFmtId="0" fontId="37" fillId="3" borderId="5" xfId="0" applyFont="1" applyFill="1" applyBorder="1" applyAlignment="1" applyProtection="1">
      <alignment horizontal="center" vertical="center"/>
      <protection hidden="1"/>
    </xf>
    <xf numFmtId="14" fontId="37" fillId="0" borderId="5" xfId="0" applyNumberFormat="1" applyFont="1" applyBorder="1" applyAlignment="1" applyProtection="1">
      <alignment horizontal="center"/>
      <protection hidden="1"/>
    </xf>
    <xf numFmtId="0" fontId="37" fillId="3" borderId="5" xfId="0" applyFont="1" applyFill="1" applyBorder="1" applyAlignment="1" applyProtection="1">
      <alignment horizontal="center"/>
      <protection hidden="1"/>
    </xf>
    <xf numFmtId="1" fontId="37" fillId="3" borderId="5" xfId="0" applyNumberFormat="1" applyFont="1" applyFill="1" applyBorder="1" applyAlignment="1" applyProtection="1">
      <alignment horizontal="center"/>
      <protection hidden="1"/>
    </xf>
    <xf numFmtId="164" fontId="37" fillId="0" borderId="5" xfId="0" applyNumberFormat="1" applyFont="1" applyBorder="1" applyAlignment="1" applyProtection="1">
      <alignment horizontal="center" vertical="center"/>
      <protection hidden="1"/>
    </xf>
    <xf numFmtId="0" fontId="37" fillId="0" borderId="4" xfId="0" applyFont="1" applyBorder="1" applyAlignment="1" applyProtection="1">
      <alignment horizontal="center" vertical="center" wrapText="1"/>
      <protection hidden="1"/>
    </xf>
    <xf numFmtId="14" fontId="37" fillId="0" borderId="11" xfId="0" applyNumberFormat="1" applyFont="1" applyBorder="1" applyAlignment="1" applyProtection="1">
      <alignment horizontal="center" vertical="center" wrapText="1"/>
      <protection hidden="1"/>
    </xf>
    <xf numFmtId="20" fontId="37" fillId="0" borderId="10" xfId="0" applyNumberFormat="1" applyFont="1" applyBorder="1" applyAlignment="1" applyProtection="1">
      <alignment horizontal="center" vertical="center" wrapText="1"/>
      <protection hidden="1"/>
    </xf>
    <xf numFmtId="164" fontId="37" fillId="0" borderId="6" xfId="0" applyNumberFormat="1" applyFont="1" applyBorder="1" applyAlignment="1" applyProtection="1">
      <alignment horizontal="center"/>
      <protection hidden="1"/>
    </xf>
    <xf numFmtId="4" fontId="37" fillId="0" borderId="6" xfId="0" applyNumberFormat="1" applyFont="1" applyBorder="1" applyAlignment="1" applyProtection="1">
      <alignment horizontal="center"/>
      <protection hidden="1"/>
    </xf>
    <xf numFmtId="14" fontId="37" fillId="0" borderId="6" xfId="0" applyNumberFormat="1" applyFont="1" applyBorder="1" applyAlignment="1" applyProtection="1">
      <alignment horizontal="center" vertical="center" wrapText="1"/>
      <protection hidden="1"/>
    </xf>
    <xf numFmtId="0" fontId="37" fillId="0" borderId="6" xfId="0" applyFont="1" applyBorder="1" applyAlignment="1" applyProtection="1">
      <alignment horizontal="center" vertical="center" wrapText="1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172" fontId="4" fillId="0" borderId="0" xfId="0" applyNumberFormat="1" applyFont="1"/>
    <xf numFmtId="172" fontId="4" fillId="3" borderId="0" xfId="0" applyNumberFormat="1" applyFont="1" applyFill="1" applyProtection="1">
      <protection hidden="1"/>
    </xf>
    <xf numFmtId="14" fontId="4" fillId="3" borderId="0" xfId="0" applyNumberFormat="1" applyFont="1" applyFill="1" applyAlignment="1" applyProtection="1">
      <alignment horizontal="left"/>
      <protection hidden="1"/>
    </xf>
    <xf numFmtId="172" fontId="20" fillId="0" borderId="0" xfId="0" applyNumberFormat="1" applyFont="1" applyProtection="1">
      <protection hidden="1"/>
    </xf>
    <xf numFmtId="172" fontId="4" fillId="0" borderId="0" xfId="0" applyNumberFormat="1" applyFont="1" applyProtection="1">
      <protection hidden="1"/>
    </xf>
    <xf numFmtId="0" fontId="46" fillId="0" borderId="0" xfId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7" fillId="3" borderId="0" xfId="0" applyFont="1" applyFill="1" applyAlignment="1">
      <alignment vertical="center" wrapText="1"/>
    </xf>
    <xf numFmtId="0" fontId="46" fillId="3" borderId="0" xfId="0" applyFont="1" applyFill="1" applyAlignment="1">
      <alignment vertical="center" wrapText="1"/>
    </xf>
    <xf numFmtId="14" fontId="46" fillId="3" borderId="0" xfId="0" applyNumberFormat="1" applyFont="1" applyFill="1" applyAlignment="1">
      <alignment horizontal="left" vertical="center" wrapText="1"/>
    </xf>
    <xf numFmtId="20" fontId="46" fillId="3" borderId="0" xfId="0" applyNumberFormat="1" applyFont="1" applyFill="1" applyAlignment="1">
      <alignment horizontal="left" vertical="center" wrapText="1"/>
    </xf>
    <xf numFmtId="167" fontId="46" fillId="3" borderId="0" xfId="0" applyNumberFormat="1" applyFont="1" applyFill="1" applyAlignment="1">
      <alignment horizontal="left" vertical="center" wrapText="1"/>
    </xf>
    <xf numFmtId="0" fontId="46" fillId="3" borderId="0" xfId="0" applyFont="1" applyFill="1" applyProtection="1">
      <protection hidden="1"/>
    </xf>
    <xf numFmtId="0" fontId="48" fillId="3" borderId="0" xfId="0" applyFont="1" applyFill="1" applyAlignment="1" applyProtection="1">
      <alignment horizontal="center"/>
      <protection hidden="1"/>
    </xf>
    <xf numFmtId="14" fontId="33" fillId="3" borderId="5" xfId="6" applyNumberFormat="1" applyFont="1" applyFill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2" fontId="46" fillId="3" borderId="0" xfId="0" applyNumberFormat="1" applyFont="1" applyFill="1" applyAlignment="1" applyProtection="1">
      <alignment horizontal="left"/>
      <protection hidden="1"/>
    </xf>
    <xf numFmtId="4" fontId="46" fillId="3" borderId="0" xfId="0" applyNumberFormat="1" applyFont="1" applyFill="1" applyAlignment="1" applyProtection="1">
      <alignment horizontal="left"/>
      <protection hidden="1"/>
    </xf>
    <xf numFmtId="0" fontId="47" fillId="3" borderId="5" xfId="0" applyFont="1" applyFill="1" applyBorder="1" applyAlignment="1">
      <alignment horizontal="center" vertical="center" wrapText="1"/>
    </xf>
    <xf numFmtId="179" fontId="20" fillId="3" borderId="7" xfId="6" applyNumberFormat="1" applyFont="1" applyFill="1" applyBorder="1" applyAlignment="1" applyProtection="1">
      <alignment horizontal="center"/>
      <protection locked="0"/>
    </xf>
    <xf numFmtId="172" fontId="20" fillId="3" borderId="20" xfId="6" applyNumberFormat="1" applyFont="1" applyFill="1" applyBorder="1" applyAlignment="1" applyProtection="1">
      <alignment horizontal="center"/>
      <protection locked="0"/>
    </xf>
    <xf numFmtId="172" fontId="20" fillId="3" borderId="11" xfId="6" applyNumberFormat="1" applyFont="1" applyFill="1" applyBorder="1" applyAlignment="1" applyProtection="1">
      <alignment horizontal="center"/>
      <protection locked="0"/>
    </xf>
    <xf numFmtId="172" fontId="20" fillId="3" borderId="7" xfId="6" applyNumberFormat="1" applyFont="1" applyFill="1" applyBorder="1" applyAlignment="1" applyProtection="1">
      <alignment horizontal="center"/>
      <protection locked="0"/>
    </xf>
    <xf numFmtId="171" fontId="20" fillId="0" borderId="1" xfId="6" applyFont="1" applyBorder="1" applyAlignment="1" applyProtection="1">
      <alignment horizontal="center"/>
      <protection hidden="1"/>
    </xf>
    <xf numFmtId="171" fontId="20" fillId="0" borderId="3" xfId="6" applyFont="1" applyBorder="1" applyAlignment="1" applyProtection="1">
      <alignment horizontal="center"/>
      <protection hidden="1"/>
    </xf>
    <xf numFmtId="171" fontId="20" fillId="0" borderId="9" xfId="6" applyFont="1" applyBorder="1" applyAlignment="1" applyProtection="1">
      <alignment horizontal="center"/>
      <protection hidden="1"/>
    </xf>
    <xf numFmtId="172" fontId="20" fillId="3" borderId="14" xfId="6" applyNumberFormat="1" applyFont="1" applyFill="1" applyBorder="1" applyAlignment="1" applyProtection="1">
      <alignment horizontal="center"/>
      <protection locked="0"/>
    </xf>
    <xf numFmtId="172" fontId="20" fillId="3" borderId="8" xfId="6" applyNumberFormat="1" applyFont="1" applyFill="1" applyBorder="1" applyAlignment="1" applyProtection="1">
      <alignment horizontal="center"/>
      <protection locked="0"/>
    </xf>
    <xf numFmtId="172" fontId="20" fillId="3" borderId="10" xfId="6" applyNumberFormat="1" applyFont="1" applyFill="1" applyBorder="1" applyAlignment="1" applyProtection="1">
      <alignment horizontal="center"/>
      <protection locked="0"/>
    </xf>
    <xf numFmtId="178" fontId="2" fillId="0" borderId="0" xfId="8" applyNumberFormat="1" applyFont="1" applyAlignment="1">
      <alignment horizontal="right"/>
    </xf>
    <xf numFmtId="178" fontId="2" fillId="0" borderId="0" xfId="8" applyNumberFormat="1" applyFont="1" applyAlignment="1">
      <alignment horizontal="right" vertical="center"/>
    </xf>
    <xf numFmtId="180" fontId="2" fillId="0" borderId="0" xfId="8" applyNumberFormat="1" applyFont="1" applyAlignment="1">
      <alignment horizontal="right" vertical="center"/>
    </xf>
    <xf numFmtId="167" fontId="37" fillId="0" borderId="0" xfId="0" applyNumberFormat="1" applyFont="1" applyAlignment="1">
      <alignment horizontal="right"/>
    </xf>
    <xf numFmtId="0" fontId="44" fillId="0" borderId="5" xfId="0" applyFont="1" applyBorder="1" applyAlignment="1" applyProtection="1">
      <alignment horizontal="left"/>
      <protection hidden="1"/>
    </xf>
    <xf numFmtId="2" fontId="4" fillId="0" borderId="5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left"/>
      <protection hidden="1"/>
    </xf>
    <xf numFmtId="0" fontId="9" fillId="3" borderId="5" xfId="0" applyFont="1" applyFill="1" applyBorder="1" applyProtection="1">
      <protection hidden="1"/>
    </xf>
    <xf numFmtId="2" fontId="9" fillId="3" borderId="5" xfId="0" applyNumberFormat="1" applyFont="1" applyFill="1" applyBorder="1" applyAlignment="1" applyProtection="1">
      <alignment horizontal="center"/>
      <protection locked="0"/>
    </xf>
    <xf numFmtId="0" fontId="49" fillId="3" borderId="5" xfId="0" applyFont="1" applyFill="1" applyBorder="1" applyProtection="1">
      <protection hidden="1"/>
    </xf>
    <xf numFmtId="0" fontId="9" fillId="3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167" fontId="4" fillId="0" borderId="5" xfId="0" applyNumberFormat="1" applyFont="1" applyBorder="1" applyAlignment="1" applyProtection="1">
      <alignment horizontal="center"/>
      <protection locked="0"/>
    </xf>
    <xf numFmtId="165" fontId="4" fillId="0" borderId="5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 hidden="1"/>
    </xf>
    <xf numFmtId="168" fontId="4" fillId="0" borderId="5" xfId="0" applyNumberFormat="1" applyFont="1" applyBorder="1" applyAlignment="1" applyProtection="1">
      <alignment horizontal="center"/>
      <protection hidden="1"/>
    </xf>
    <xf numFmtId="166" fontId="4" fillId="0" borderId="5" xfId="0" applyNumberFormat="1" applyFont="1" applyBorder="1" applyAlignment="1" applyProtection="1">
      <alignment horizontal="center"/>
      <protection hidden="1"/>
    </xf>
    <xf numFmtId="167" fontId="4" fillId="0" borderId="5" xfId="0" applyNumberFormat="1" applyFont="1" applyBorder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/>
      <protection locked="0"/>
    </xf>
    <xf numFmtId="167" fontId="4" fillId="3" borderId="5" xfId="0" applyNumberFormat="1" applyFont="1" applyFill="1" applyBorder="1" applyAlignment="1" applyProtection="1">
      <alignment horizontal="center"/>
      <protection locked="0"/>
    </xf>
    <xf numFmtId="165" fontId="4" fillId="3" borderId="5" xfId="0" applyNumberFormat="1" applyFont="1" applyFill="1" applyBorder="1" applyAlignment="1" applyProtection="1">
      <alignment horizontal="center"/>
      <protection locked="0"/>
    </xf>
    <xf numFmtId="167" fontId="4" fillId="2" borderId="5" xfId="0" applyNumberFormat="1" applyFont="1" applyFill="1" applyBorder="1" applyAlignment="1" applyProtection="1">
      <alignment horizontal="center"/>
      <protection hidden="1"/>
    </xf>
    <xf numFmtId="167" fontId="9" fillId="0" borderId="5" xfId="0" applyNumberFormat="1" applyFont="1" applyBorder="1" applyAlignment="1" applyProtection="1">
      <alignment horizontal="center"/>
      <protection hidden="1"/>
    </xf>
    <xf numFmtId="0" fontId="9" fillId="0" borderId="5" xfId="0" applyFont="1" applyBorder="1" applyAlignment="1" applyProtection="1">
      <alignment horizontal="left" vertical="center"/>
      <protection hidden="1"/>
    </xf>
    <xf numFmtId="172" fontId="4" fillId="3" borderId="0" xfId="0" applyNumberFormat="1" applyFont="1" applyFill="1" applyAlignment="1" applyProtection="1">
      <alignment horizontal="left"/>
      <protection hidden="1"/>
    </xf>
    <xf numFmtId="2" fontId="4" fillId="3" borderId="5" xfId="0" applyNumberFormat="1" applyFont="1" applyFill="1" applyBorder="1" applyAlignment="1" applyProtection="1">
      <alignment horizontal="center"/>
      <protection locked="0"/>
    </xf>
    <xf numFmtId="0" fontId="9" fillId="3" borderId="5" xfId="0" applyFont="1" applyFill="1" applyBorder="1" applyAlignment="1" applyProtection="1">
      <alignment horizontal="left"/>
      <protection hidden="1"/>
    </xf>
    <xf numFmtId="166" fontId="4" fillId="2" borderId="5" xfId="0" applyNumberFormat="1" applyFont="1" applyFill="1" applyBorder="1" applyAlignment="1" applyProtection="1">
      <alignment horizontal="center"/>
      <protection hidden="1"/>
    </xf>
    <xf numFmtId="166" fontId="4" fillId="3" borderId="5" xfId="0" applyNumberFormat="1" applyFont="1" applyFill="1" applyBorder="1" applyAlignment="1" applyProtection="1">
      <alignment horizontal="center"/>
      <protection hidden="1"/>
    </xf>
    <xf numFmtId="1" fontId="4" fillId="0" borderId="5" xfId="0" applyNumberFormat="1" applyFont="1" applyBorder="1" applyAlignment="1" applyProtection="1">
      <alignment horizontal="center"/>
      <protection locked="0"/>
    </xf>
    <xf numFmtId="0" fontId="28" fillId="0" borderId="0" xfId="0" applyFont="1" applyAlignment="1">
      <alignment horizontal="left"/>
    </xf>
    <xf numFmtId="171" fontId="19" fillId="0" borderId="0" xfId="6" applyFont="1" applyAlignment="1" applyProtection="1">
      <alignment horizontal="center"/>
      <protection hidden="1"/>
    </xf>
    <xf numFmtId="171" fontId="20" fillId="3" borderId="2" xfId="6" applyFont="1" applyFill="1" applyBorder="1" applyProtection="1">
      <protection hidden="1"/>
    </xf>
    <xf numFmtId="171" fontId="19" fillId="3" borderId="8" xfId="6" applyFont="1" applyFill="1" applyBorder="1" applyAlignment="1" applyProtection="1">
      <alignment horizontal="center"/>
      <protection hidden="1"/>
    </xf>
    <xf numFmtId="171" fontId="20" fillId="3" borderId="21" xfId="6" applyFont="1" applyFill="1" applyBorder="1" applyProtection="1">
      <protection hidden="1"/>
    </xf>
    <xf numFmtId="171" fontId="19" fillId="0" borderId="7" xfId="6" applyFont="1" applyBorder="1" applyAlignment="1" applyProtection="1">
      <alignment horizontal="center"/>
      <protection hidden="1"/>
    </xf>
    <xf numFmtId="172" fontId="20" fillId="3" borderId="13" xfId="6" applyNumberFormat="1" applyFont="1" applyFill="1" applyBorder="1" applyAlignment="1" applyProtection="1">
      <alignment horizontal="center"/>
      <protection locked="0"/>
    </xf>
    <xf numFmtId="171" fontId="20" fillId="0" borderId="0" xfId="6" applyFont="1" applyAlignment="1" applyProtection="1">
      <alignment horizontal="center"/>
      <protection hidden="1"/>
    </xf>
    <xf numFmtId="172" fontId="20" fillId="3" borderId="2" xfId="6" applyNumberFormat="1" applyFont="1" applyFill="1" applyBorder="1" applyAlignment="1" applyProtection="1">
      <alignment horizontal="center"/>
      <protection locked="0"/>
    </xf>
    <xf numFmtId="0" fontId="9" fillId="5" borderId="0" xfId="0" applyFont="1" applyFill="1" applyProtection="1">
      <protection hidden="1"/>
    </xf>
    <xf numFmtId="0" fontId="46" fillId="5" borderId="0" xfId="1" applyFont="1" applyFill="1" applyAlignment="1">
      <alignment horizontal="right" vertical="center"/>
    </xf>
    <xf numFmtId="0" fontId="4" fillId="5" borderId="0" xfId="0" applyFont="1" applyFill="1" applyProtection="1">
      <protection hidden="1"/>
    </xf>
    <xf numFmtId="0" fontId="4" fillId="5" borderId="0" xfId="0" applyFont="1" applyFill="1" applyAlignment="1" applyProtection="1">
      <alignment horizontal="left"/>
      <protection hidden="1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Protection="1">
      <protection hidden="1"/>
    </xf>
    <xf numFmtId="0" fontId="46" fillId="0" borderId="0" xfId="1" applyFont="1" applyFill="1" applyAlignment="1">
      <alignment horizontal="right" vertical="center"/>
    </xf>
    <xf numFmtId="0" fontId="46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171" fontId="4" fillId="3" borderId="5" xfId="6" applyFont="1" applyFill="1" applyBorder="1" applyAlignment="1" applyProtection="1">
      <alignment horizontal="center"/>
      <protection hidden="1"/>
    </xf>
    <xf numFmtId="0" fontId="50" fillId="0" borderId="0" xfId="0" applyFont="1"/>
    <xf numFmtId="171" fontId="4" fillId="3" borderId="0" xfId="6" applyFont="1" applyFill="1" applyProtection="1">
      <protection hidden="1"/>
    </xf>
    <xf numFmtId="0" fontId="52" fillId="0" borderId="0" xfId="0" applyFont="1"/>
    <xf numFmtId="14" fontId="24" fillId="0" borderId="0" xfId="0" applyNumberFormat="1" applyFont="1"/>
    <xf numFmtId="0" fontId="46" fillId="3" borderId="0" xfId="0" applyFont="1" applyFill="1" applyAlignment="1">
      <alignment horizontal="left" vertical="center" wrapText="1"/>
    </xf>
    <xf numFmtId="177" fontId="2" fillId="7" borderId="5" xfId="8" applyNumberFormat="1" applyFont="1" applyFill="1" applyBorder="1" applyAlignment="1" applyProtection="1">
      <alignment horizontal="center"/>
      <protection locked="0"/>
    </xf>
    <xf numFmtId="173" fontId="2" fillId="7" borderId="5" xfId="8" applyNumberFormat="1" applyFont="1" applyFill="1" applyBorder="1" applyAlignment="1" applyProtection="1">
      <alignment horizontal="center"/>
      <protection locked="0"/>
    </xf>
    <xf numFmtId="0" fontId="1" fillId="0" borderId="0" xfId="8" applyFont="1"/>
    <xf numFmtId="172" fontId="20" fillId="3" borderId="8" xfId="6" applyNumberFormat="1" applyFont="1" applyFill="1" applyBorder="1" applyProtection="1">
      <protection locked="0"/>
    </xf>
    <xf numFmtId="172" fontId="20" fillId="3" borderId="3" xfId="6" applyNumberFormat="1" applyFont="1" applyFill="1" applyBorder="1" applyProtection="1">
      <protection locked="0"/>
    </xf>
    <xf numFmtId="179" fontId="20" fillId="3" borderId="5" xfId="6" applyNumberFormat="1" applyFont="1" applyFill="1" applyBorder="1" applyAlignment="1" applyProtection="1">
      <alignment horizontal="center"/>
      <protection locked="0"/>
    </xf>
    <xf numFmtId="0" fontId="53" fillId="0" borderId="0" xfId="0" applyFont="1"/>
    <xf numFmtId="0" fontId="54" fillId="0" borderId="0" xfId="0" applyFont="1"/>
    <xf numFmtId="0" fontId="13" fillId="0" borderId="0" xfId="0" applyFont="1" applyProtection="1">
      <protection hidden="1"/>
    </xf>
    <xf numFmtId="0" fontId="9" fillId="3" borderId="5" xfId="0" applyFont="1" applyFill="1" applyBorder="1" applyAlignment="1" applyProtection="1">
      <alignment horizontal="left" vertical="center"/>
      <protection hidden="1"/>
    </xf>
    <xf numFmtId="167" fontId="24" fillId="0" borderId="0" xfId="0" applyNumberFormat="1" applyFont="1" applyAlignment="1">
      <alignment horizontal="center"/>
    </xf>
    <xf numFmtId="0" fontId="22" fillId="0" borderId="0" xfId="5" applyFont="1" applyAlignment="1">
      <alignment horizontal="right"/>
    </xf>
    <xf numFmtId="0" fontId="22" fillId="0" borderId="0" xfId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6" fillId="3" borderId="0" xfId="0" applyFont="1" applyFill="1" applyAlignment="1">
      <alignment horizontal="left" vertical="center" wrapText="1"/>
    </xf>
    <xf numFmtId="171" fontId="20" fillId="0" borderId="5" xfId="6" applyFont="1" applyBorder="1" applyAlignment="1" applyProtection="1">
      <alignment horizontal="left"/>
      <protection hidden="1"/>
    </xf>
    <xf numFmtId="0" fontId="28" fillId="0" borderId="0" xfId="0" applyFont="1" applyAlignment="1">
      <alignment horizontal="left" vertical="top" wrapText="1"/>
    </xf>
    <xf numFmtId="0" fontId="28" fillId="0" borderId="7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8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171" fontId="40" fillId="4" borderId="0" xfId="6" applyFont="1" applyFill="1" applyAlignment="1" applyProtection="1">
      <alignment horizontal="center"/>
      <protection hidden="1"/>
    </xf>
    <xf numFmtId="0" fontId="28" fillId="0" borderId="0" xfId="0" applyFont="1" applyAlignment="1">
      <alignment horizontal="left"/>
    </xf>
    <xf numFmtId="171" fontId="20" fillId="0" borderId="7" xfId="6" applyFont="1" applyBorder="1" applyAlignment="1" applyProtection="1">
      <alignment horizontal="left"/>
      <protection hidden="1"/>
    </xf>
    <xf numFmtId="171" fontId="20" fillId="0" borderId="3" xfId="6" applyFont="1" applyBorder="1" applyAlignment="1" applyProtection="1">
      <alignment horizontal="left"/>
      <protection hidden="1"/>
    </xf>
    <xf numFmtId="171" fontId="20" fillId="0" borderId="8" xfId="6" applyFont="1" applyBorder="1" applyAlignment="1" applyProtection="1">
      <alignment horizontal="left"/>
      <protection hidden="1"/>
    </xf>
    <xf numFmtId="171" fontId="19" fillId="0" borderId="22" xfId="6" applyFont="1" applyBorder="1" applyAlignment="1" applyProtection="1">
      <alignment horizontal="center"/>
      <protection hidden="1"/>
    </xf>
    <xf numFmtId="171" fontId="19" fillId="0" borderId="23" xfId="6" applyFont="1" applyBorder="1" applyAlignment="1" applyProtection="1">
      <alignment horizontal="center"/>
      <protection hidden="1"/>
    </xf>
    <xf numFmtId="171" fontId="19" fillId="0" borderId="24" xfId="6" applyFont="1" applyBorder="1" applyAlignment="1" applyProtection="1">
      <alignment horizontal="center"/>
      <protection hidden="1"/>
    </xf>
    <xf numFmtId="14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 applyProtection="1">
      <alignment horizontal="center"/>
      <protection hidden="1"/>
    </xf>
    <xf numFmtId="2" fontId="4" fillId="0" borderId="0" xfId="0" applyNumberFormat="1" applyFont="1" applyAlignment="1">
      <alignment horizontal="right"/>
    </xf>
    <xf numFmtId="172" fontId="4" fillId="0" borderId="0" xfId="0" applyNumberFormat="1" applyFont="1" applyAlignment="1" applyProtection="1">
      <alignment horizontal="right"/>
      <protection hidden="1"/>
    </xf>
    <xf numFmtId="0" fontId="9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4" fontId="4" fillId="3" borderId="5" xfId="0" applyNumberFormat="1" applyFont="1" applyFill="1" applyBorder="1" applyAlignment="1">
      <alignment horizontal="right"/>
    </xf>
    <xf numFmtId="4" fontId="4" fillId="3" borderId="15" xfId="0" applyNumberFormat="1" applyFont="1" applyFill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4" fontId="4" fillId="0" borderId="25" xfId="0" applyNumberFormat="1" applyFont="1" applyBorder="1" applyAlignment="1">
      <alignment horizontal="right"/>
    </xf>
    <xf numFmtId="2" fontId="4" fillId="3" borderId="7" xfId="0" applyNumberFormat="1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14" fontId="4" fillId="3" borderId="7" xfId="0" applyNumberFormat="1" applyFont="1" applyFill="1" applyBorder="1" applyAlignment="1">
      <alignment horizontal="center" shrinkToFit="1"/>
    </xf>
    <xf numFmtId="14" fontId="4" fillId="3" borderId="3" xfId="0" applyNumberFormat="1" applyFont="1" applyFill="1" applyBorder="1" applyAlignment="1">
      <alignment horizontal="center" shrinkToFit="1"/>
    </xf>
    <xf numFmtId="14" fontId="4" fillId="3" borderId="8" xfId="0" applyNumberFormat="1" applyFont="1" applyFill="1" applyBorder="1" applyAlignment="1">
      <alignment horizontal="center" shrinkToFit="1"/>
    </xf>
    <xf numFmtId="0" fontId="51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left"/>
      <protection hidden="1"/>
    </xf>
    <xf numFmtId="4" fontId="4" fillId="0" borderId="5" xfId="0" applyNumberFormat="1" applyFont="1" applyBorder="1" applyAlignment="1">
      <alignment horizontal="right"/>
    </xf>
    <xf numFmtId="4" fontId="4" fillId="0" borderId="15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7" fontId="4" fillId="4" borderId="5" xfId="0" applyNumberFormat="1" applyFont="1" applyFill="1" applyBorder="1" applyAlignment="1">
      <alignment horizontal="center"/>
    </xf>
    <xf numFmtId="20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0" fillId="0" borderId="0" xfId="0" applyFont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 applyProtection="1">
      <alignment horizontal="center" wrapText="1"/>
      <protection hidden="1"/>
    </xf>
    <xf numFmtId="0" fontId="13" fillId="0" borderId="12" xfId="0" applyFont="1" applyBorder="1" applyAlignment="1" applyProtection="1">
      <alignment horizontal="center" wrapText="1"/>
      <protection hidden="1"/>
    </xf>
    <xf numFmtId="0" fontId="13" fillId="0" borderId="6" xfId="0" applyFont="1" applyBorder="1" applyAlignment="1" applyProtection="1">
      <alignment horizontal="center" wrapText="1"/>
      <protection hidden="1"/>
    </xf>
    <xf numFmtId="14" fontId="4" fillId="3" borderId="0" xfId="0" applyNumberFormat="1" applyFont="1" applyFill="1" applyAlignment="1" applyProtection="1">
      <alignment horizontal="left"/>
      <protection hidden="1"/>
    </xf>
    <xf numFmtId="0" fontId="9" fillId="3" borderId="5" xfId="0" applyFont="1" applyFill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164" fontId="20" fillId="3" borderId="5" xfId="0" applyNumberFormat="1" applyFont="1" applyFill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 wrapText="1"/>
      <protection hidden="1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19" fillId="0" borderId="2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 wrapText="1"/>
      <protection hidden="1"/>
    </xf>
    <xf numFmtId="0" fontId="20" fillId="3" borderId="20" xfId="0" applyFont="1" applyFill="1" applyBorder="1" applyAlignment="1" applyProtection="1">
      <alignment horizontal="center" vertical="center" wrapText="1"/>
      <protection hidden="1"/>
    </xf>
    <xf numFmtId="0" fontId="20" fillId="3" borderId="14" xfId="0" applyFont="1" applyFill="1" applyBorder="1" applyAlignment="1" applyProtection="1">
      <alignment horizontal="center" vertical="center" wrapText="1"/>
      <protection hidden="1"/>
    </xf>
    <xf numFmtId="164" fontId="20" fillId="3" borderId="6" xfId="0" applyNumberFormat="1" applyFont="1" applyFill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20" fillId="3" borderId="0" xfId="0" applyFont="1" applyFill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center"/>
      <protection hidden="1"/>
    </xf>
    <xf numFmtId="0" fontId="20" fillId="3" borderId="5" xfId="0" applyFont="1" applyFill="1" applyBorder="1" applyAlignment="1" applyProtection="1">
      <alignment horizontal="center" vertical="center"/>
      <protection hidden="1"/>
    </xf>
    <xf numFmtId="164" fontId="20" fillId="0" borderId="5" xfId="0" applyNumberFormat="1" applyFont="1" applyBorder="1" applyAlignment="1" applyProtection="1">
      <alignment horizontal="center"/>
      <protection hidden="1"/>
    </xf>
    <xf numFmtId="0" fontId="20" fillId="3" borderId="0" xfId="0" applyFont="1" applyFill="1" applyAlignment="1" applyProtection="1">
      <alignment horizontal="left"/>
      <protection hidden="1"/>
    </xf>
    <xf numFmtId="0" fontId="20" fillId="3" borderId="5" xfId="0" applyFont="1" applyFill="1" applyBorder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6" fillId="0" borderId="9" xfId="0" applyFont="1" applyBorder="1" applyAlignment="1" applyProtection="1">
      <alignment horizontal="center" vertical="center" wrapText="1"/>
      <protection hidden="1"/>
    </xf>
    <xf numFmtId="0" fontId="37" fillId="0" borderId="4" xfId="0" applyFont="1" applyBorder="1" applyAlignment="1" applyProtection="1">
      <alignment horizontal="center" vertical="center" wrapText="1"/>
      <protection hidden="1"/>
    </xf>
    <xf numFmtId="0" fontId="37" fillId="0" borderId="6" xfId="0" applyFont="1" applyBorder="1" applyAlignment="1" applyProtection="1">
      <alignment horizontal="center" vertical="center" wrapText="1"/>
      <protection hidden="1"/>
    </xf>
    <xf numFmtId="0" fontId="41" fillId="0" borderId="5" xfId="8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hidden="1"/>
    </xf>
    <xf numFmtId="0" fontId="4" fillId="3" borderId="0" xfId="0" applyFont="1" applyFill="1" applyAlignment="1" applyProtection="1">
      <alignment horizontal="left"/>
      <protection locked="0"/>
    </xf>
    <xf numFmtId="4" fontId="41" fillId="7" borderId="5" xfId="8" applyNumberFormat="1" applyFont="1" applyFill="1" applyBorder="1" applyAlignment="1" applyProtection="1">
      <alignment horizontal="center"/>
      <protection locked="0"/>
    </xf>
    <xf numFmtId="0" fontId="2" fillId="0" borderId="5" xfId="8" applyFont="1" applyBorder="1" applyAlignment="1" applyProtection="1">
      <alignment horizontal="left" vertical="center"/>
      <protection locked="0"/>
    </xf>
    <xf numFmtId="164" fontId="2" fillId="0" borderId="5" xfId="8" applyNumberFormat="1" applyFont="1" applyBorder="1" applyAlignment="1" applyProtection="1">
      <alignment horizontal="center"/>
      <protection locked="0"/>
    </xf>
    <xf numFmtId="0" fontId="26" fillId="0" borderId="5" xfId="0" applyFont="1" applyBorder="1" applyAlignment="1">
      <alignment horizontal="center"/>
    </xf>
    <xf numFmtId="175" fontId="2" fillId="0" borderId="5" xfId="8" applyNumberFormat="1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hidden="1"/>
    </xf>
    <xf numFmtId="0" fontId="41" fillId="0" borderId="6" xfId="8" applyFont="1" applyBorder="1" applyAlignment="1" applyProtection="1">
      <alignment horizontal="center"/>
      <protection locked="0"/>
    </xf>
    <xf numFmtId="0" fontId="2" fillId="0" borderId="0" xfId="8" applyFont="1" applyAlignment="1" applyProtection="1">
      <alignment horizontal="center" vertical="center"/>
      <protection locked="0"/>
    </xf>
    <xf numFmtId="174" fontId="2" fillId="3" borderId="5" xfId="8" applyNumberFormat="1" applyFont="1" applyFill="1" applyBorder="1" applyAlignment="1" applyProtection="1">
      <alignment horizontal="center"/>
      <protection locked="0"/>
    </xf>
    <xf numFmtId="174" fontId="2" fillId="0" borderId="5" xfId="8" applyNumberFormat="1" applyFont="1" applyBorder="1" applyAlignment="1" applyProtection="1">
      <alignment horizontal="center"/>
      <protection locked="0"/>
    </xf>
    <xf numFmtId="4" fontId="2" fillId="7" borderId="5" xfId="8" applyNumberFormat="1" applyFont="1" applyFill="1" applyBorder="1" applyAlignment="1" applyProtection="1">
      <alignment horizontal="center"/>
      <protection locked="0"/>
    </xf>
    <xf numFmtId="0" fontId="37" fillId="3" borderId="5" xfId="0" applyFont="1" applyFill="1" applyBorder="1" applyAlignment="1" applyProtection="1">
      <alignment horizontal="center" vertical="center"/>
      <protection hidden="1"/>
    </xf>
    <xf numFmtId="0" fontId="37" fillId="3" borderId="5" xfId="0" applyFont="1" applyFill="1" applyBorder="1" applyAlignment="1" applyProtection="1">
      <alignment horizontal="center"/>
      <protection hidden="1"/>
    </xf>
    <xf numFmtId="0" fontId="37" fillId="3" borderId="0" xfId="0" applyFont="1" applyFill="1" applyAlignment="1" applyProtection="1">
      <alignment horizontal="left"/>
      <protection hidden="1"/>
    </xf>
    <xf numFmtId="164" fontId="37" fillId="0" borderId="11" xfId="0" applyNumberFormat="1" applyFont="1" applyBorder="1" applyAlignment="1" applyProtection="1">
      <alignment horizontal="center"/>
      <protection hidden="1"/>
    </xf>
    <xf numFmtId="164" fontId="37" fillId="0" borderId="10" xfId="0" applyNumberFormat="1" applyFont="1" applyBorder="1" applyAlignment="1" applyProtection="1">
      <alignment horizontal="center"/>
      <protection hidden="1"/>
    </xf>
    <xf numFmtId="164" fontId="37" fillId="0" borderId="5" xfId="0" applyNumberFormat="1" applyFont="1" applyBorder="1" applyAlignment="1" applyProtection="1">
      <alignment horizontal="center"/>
      <protection hidden="1"/>
    </xf>
  </cellXfs>
  <cellStyles count="9">
    <cellStyle name="Hiperlink" xfId="1" builtinId="8"/>
    <cellStyle name="Normal" xfId="0" builtinId="0"/>
    <cellStyle name="Normal 2" xfId="2" xr:uid="{A2B6DE3C-3218-4A07-AB63-263383B21CBB}"/>
    <cellStyle name="Normal 2 2" xfId="3" xr:uid="{7DBCB90B-863C-4FEA-95B9-FAFE05F950DB}"/>
    <cellStyle name="Normal 3" xfId="4" xr:uid="{CD8D8010-0028-495E-A2E3-ECF46AE3B747}"/>
    <cellStyle name="Normal 4" xfId="5" xr:uid="{F85D3E25-A8CB-4D6A-8172-450008A95B12}"/>
    <cellStyle name="Normal 5" xfId="6" xr:uid="{37F1B10D-15E2-406C-B593-323FC69BFEB5}"/>
    <cellStyle name="Separador de milhares 2" xfId="7" xr:uid="{74C82633-DC15-4249-81FD-339AD22B4370}"/>
    <cellStyle name="常规 3" xfId="8" xr:uid="{F7010765-C142-4434-9397-3ABF0AA8F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1</xdr:row>
      <xdr:rowOff>62739</xdr:rowOff>
    </xdr:from>
    <xdr:to>
      <xdr:col>1</xdr:col>
      <xdr:colOff>382862</xdr:colOff>
      <xdr:row>1</xdr:row>
      <xdr:rowOff>512076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E844B7-2E76-42FC-A43D-33B52A8B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762" y="236674"/>
          <a:ext cx="1819274" cy="43981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65220</xdr:rowOff>
    </xdr:from>
    <xdr:to>
      <xdr:col>8</xdr:col>
      <xdr:colOff>94297</xdr:colOff>
      <xdr:row>0</xdr:row>
      <xdr:rowOff>554915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911F4F-4CA2-481D-8439-C50BD7B9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220"/>
          <a:ext cx="6267450" cy="497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17808</xdr:colOff>
      <xdr:row>0</xdr:row>
      <xdr:rowOff>132522</xdr:rowOff>
    </xdr:from>
    <xdr:to>
      <xdr:col>12</xdr:col>
      <xdr:colOff>60614</xdr:colOff>
      <xdr:row>1</xdr:row>
      <xdr:rowOff>21976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29D50A-BFDD-4E23-A655-2E50C5A4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51" y="132522"/>
          <a:ext cx="6665084" cy="5234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36699</xdr:colOff>
      <xdr:row>0</xdr:row>
      <xdr:rowOff>67235</xdr:rowOff>
    </xdr:from>
    <xdr:to>
      <xdr:col>13</xdr:col>
      <xdr:colOff>402609</xdr:colOff>
      <xdr:row>1</xdr:row>
      <xdr:rowOff>59615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E48303-E401-BEEE-58CF-951AF2CA8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52" y="67235"/>
          <a:ext cx="8389770" cy="6611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26774</xdr:rowOff>
    </xdr:from>
    <xdr:to>
      <xdr:col>11</xdr:col>
      <xdr:colOff>659130</xdr:colOff>
      <xdr:row>1</xdr:row>
      <xdr:rowOff>25829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743FC9-D0F4-42AA-B1E5-EC4078DB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6774"/>
          <a:ext cx="7981950" cy="6486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13</xdr:col>
      <xdr:colOff>653415</xdr:colOff>
      <xdr:row>1</xdr:row>
      <xdr:rowOff>50490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F4F619-88FB-4C7B-98AC-AE57DC26B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7625"/>
          <a:ext cx="9734550" cy="6486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5067-E16B-4FFA-9CF0-5D7941CCBCA7}">
  <sheetPr codeName="Planilha1"/>
  <dimension ref="A2:J43"/>
  <sheetViews>
    <sheetView showGridLines="0" zoomScale="115" zoomScaleNormal="115" zoomScaleSheetLayoutView="100" workbookViewId="0">
      <selection activeCell="F17" sqref="F17"/>
    </sheetView>
  </sheetViews>
  <sheetFormatPr defaultColWidth="9.109375" defaultRowHeight="13.8"/>
  <cols>
    <col min="1" max="1" width="20.109375" style="6" bestFit="1" customWidth="1"/>
    <col min="2" max="2" width="42.21875" style="6" customWidth="1"/>
    <col min="3" max="3" width="5.33203125" style="6" customWidth="1"/>
    <col min="4" max="4" width="5.5546875" style="6" customWidth="1"/>
    <col min="5" max="5" width="8.44140625" style="6" customWidth="1"/>
    <col min="6" max="6" width="9.109375" style="6"/>
    <col min="7" max="7" width="3.5546875" style="6" customWidth="1"/>
    <col min="8" max="8" width="9.109375" style="6"/>
    <col min="9" max="9" width="7.6640625" style="6" customWidth="1"/>
    <col min="10" max="10" width="7.88671875" style="6" customWidth="1"/>
    <col min="11" max="11" width="9" style="6" customWidth="1"/>
    <col min="12" max="12" width="17.109375" style="6" customWidth="1"/>
    <col min="13" max="14" width="0" style="6" hidden="1" customWidth="1"/>
    <col min="15" max="16384" width="9.109375" style="6"/>
  </cols>
  <sheetData>
    <row r="2" spans="1:10" ht="42.75" customHeight="1">
      <c r="A2" s="5"/>
      <c r="B2" s="103" t="s">
        <v>270</v>
      </c>
      <c r="C2" s="102"/>
      <c r="D2" s="102"/>
      <c r="E2" s="102"/>
      <c r="F2" s="102"/>
      <c r="G2" s="102"/>
      <c r="H2" s="7"/>
      <c r="I2" s="7"/>
    </row>
    <row r="3" spans="1:10" ht="12.75" customHeight="1">
      <c r="A3" s="5"/>
      <c r="B3" s="310"/>
      <c r="C3" s="310"/>
      <c r="D3" s="310"/>
      <c r="E3" s="310"/>
      <c r="F3" s="310"/>
      <c r="G3" s="310"/>
      <c r="H3" s="8"/>
      <c r="I3" s="8"/>
    </row>
    <row r="4" spans="1:10" ht="12.75" customHeight="1">
      <c r="A4" s="5"/>
      <c r="B4" s="311"/>
      <c r="C4" s="311"/>
      <c r="D4" s="311"/>
      <c r="E4" s="311"/>
      <c r="F4" s="311"/>
      <c r="G4" s="311"/>
      <c r="H4" s="9"/>
      <c r="I4" s="22"/>
      <c r="J4" s="22"/>
    </row>
    <row r="5" spans="1:10" ht="12.75" customHeight="1">
      <c r="A5" s="284" t="s">
        <v>255</v>
      </c>
      <c r="B5" s="285"/>
      <c r="C5" s="290"/>
      <c r="D5" s="220"/>
      <c r="E5" s="220"/>
      <c r="F5" s="220"/>
      <c r="G5" s="29"/>
      <c r="H5" s="9"/>
      <c r="I5" s="22"/>
      <c r="J5" s="22"/>
    </row>
    <row r="6" spans="1:10" ht="16.5" customHeight="1">
      <c r="A6" s="288" t="s">
        <v>28</v>
      </c>
      <c r="B6" s="222" t="s">
        <v>317</v>
      </c>
      <c r="C6" s="222"/>
      <c r="D6" s="222"/>
      <c r="E6" s="222"/>
      <c r="F6" s="222"/>
    </row>
    <row r="7" spans="1:10">
      <c r="A7" s="288" t="s">
        <v>29</v>
      </c>
      <c r="B7" s="223" t="s">
        <v>239</v>
      </c>
      <c r="C7" s="223"/>
      <c r="D7" s="223"/>
      <c r="E7" s="223"/>
      <c r="F7" s="223"/>
    </row>
    <row r="8" spans="1:10">
      <c r="A8" s="288" t="s">
        <v>66</v>
      </c>
      <c r="B8" s="223" t="s">
        <v>240</v>
      </c>
      <c r="C8" s="223"/>
      <c r="D8" s="223"/>
      <c r="E8" s="223"/>
      <c r="F8" s="223"/>
    </row>
    <row r="9" spans="1:10">
      <c r="A9" s="288" t="s">
        <v>112</v>
      </c>
      <c r="B9" s="223" t="s">
        <v>156</v>
      </c>
      <c r="C9" s="234" t="s">
        <v>305</v>
      </c>
      <c r="D9" s="223"/>
      <c r="E9" s="223"/>
      <c r="F9" s="223"/>
    </row>
    <row r="10" spans="1:10">
      <c r="A10" s="288" t="s">
        <v>32</v>
      </c>
      <c r="B10" s="223" t="s">
        <v>113</v>
      </c>
      <c r="C10" s="234" t="s">
        <v>341</v>
      </c>
      <c r="D10" s="223"/>
      <c r="E10" s="223"/>
      <c r="F10" s="223"/>
    </row>
    <row r="11" spans="1:10">
      <c r="A11" s="288" t="s">
        <v>68</v>
      </c>
      <c r="B11" s="223" t="s">
        <v>153</v>
      </c>
      <c r="C11" s="234" t="s">
        <v>341</v>
      </c>
      <c r="D11" s="223"/>
      <c r="E11" s="223"/>
      <c r="F11" s="223"/>
    </row>
    <row r="12" spans="1:10">
      <c r="A12" s="288" t="s">
        <v>70</v>
      </c>
      <c r="B12" s="223" t="s">
        <v>213</v>
      </c>
      <c r="C12" s="234" t="s">
        <v>305</v>
      </c>
      <c r="D12" s="223"/>
      <c r="E12" s="223"/>
      <c r="F12" s="223"/>
    </row>
    <row r="13" spans="1:10">
      <c r="A13" s="288" t="s">
        <v>35</v>
      </c>
      <c r="B13" s="223" t="s">
        <v>339</v>
      </c>
      <c r="C13" s="223"/>
      <c r="D13" s="223"/>
      <c r="E13" s="223"/>
      <c r="F13" s="223"/>
    </row>
    <row r="14" spans="1:10">
      <c r="A14" s="288" t="s">
        <v>36</v>
      </c>
      <c r="B14" s="223" t="s">
        <v>327</v>
      </c>
      <c r="C14" s="223"/>
      <c r="D14" s="223"/>
      <c r="E14" s="223"/>
      <c r="F14" s="223"/>
    </row>
    <row r="15" spans="1:10">
      <c r="A15" s="288" t="s">
        <v>257</v>
      </c>
      <c r="B15" s="224" t="s">
        <v>282</v>
      </c>
      <c r="C15" s="224"/>
      <c r="D15" s="224"/>
      <c r="E15" s="224"/>
      <c r="F15" s="146"/>
    </row>
    <row r="16" spans="1:10">
      <c r="A16" s="288" t="s">
        <v>336</v>
      </c>
      <c r="B16" s="298" t="s">
        <v>343</v>
      </c>
      <c r="C16" s="224"/>
      <c r="D16" s="224"/>
      <c r="E16" s="224"/>
      <c r="F16" s="146"/>
    </row>
    <row r="17" spans="1:6" ht="26.4">
      <c r="A17" s="292" t="s">
        <v>307</v>
      </c>
      <c r="B17" s="291"/>
      <c r="C17" s="224"/>
      <c r="D17" s="224"/>
      <c r="E17" s="224"/>
      <c r="F17" s="146"/>
    </row>
    <row r="18" spans="1:6">
      <c r="A18" s="288" t="s">
        <v>308</v>
      </c>
      <c r="B18" s="225">
        <v>46249</v>
      </c>
      <c r="C18" s="224"/>
      <c r="D18" s="224"/>
      <c r="E18" s="224"/>
      <c r="F18" s="146"/>
    </row>
    <row r="19" spans="1:6">
      <c r="A19" s="288" t="s">
        <v>309</v>
      </c>
      <c r="B19" s="226">
        <v>0.83333333333333337</v>
      </c>
      <c r="C19" s="224"/>
      <c r="D19" s="224"/>
      <c r="E19" s="224"/>
      <c r="F19" s="146"/>
    </row>
    <row r="20" spans="1:6">
      <c r="A20" s="284" t="s">
        <v>40</v>
      </c>
      <c r="B20" s="286"/>
      <c r="C20" s="136"/>
      <c r="D20" s="147"/>
      <c r="E20" s="147"/>
      <c r="F20" s="147"/>
    </row>
    <row r="21" spans="1:6">
      <c r="A21" s="289" t="s">
        <v>41</v>
      </c>
      <c r="B21" s="313">
        <v>9979022</v>
      </c>
      <c r="C21" s="313"/>
      <c r="D21" s="313"/>
      <c r="E21" s="313"/>
      <c r="F21" s="313"/>
    </row>
    <row r="22" spans="1:6">
      <c r="A22" s="289" t="s">
        <v>44</v>
      </c>
      <c r="B22" s="313" t="s">
        <v>330</v>
      </c>
      <c r="C22" s="313"/>
      <c r="D22" s="313"/>
      <c r="E22" s="313"/>
      <c r="F22" s="313"/>
    </row>
    <row r="23" spans="1:6">
      <c r="A23" s="289" t="s">
        <v>254</v>
      </c>
      <c r="B23" s="313" t="s">
        <v>328</v>
      </c>
      <c r="C23" s="313"/>
      <c r="D23" s="313"/>
      <c r="E23" s="313"/>
      <c r="F23" s="313"/>
    </row>
    <row r="24" spans="1:6">
      <c r="A24" s="289" t="s">
        <v>42</v>
      </c>
      <c r="B24" s="313">
        <v>101.31100000000001</v>
      </c>
      <c r="C24" s="313"/>
      <c r="D24" s="313"/>
      <c r="E24" s="313"/>
      <c r="F24" s="313"/>
    </row>
    <row r="25" spans="1:6">
      <c r="A25" s="289" t="s">
        <v>176</v>
      </c>
      <c r="B25" s="227">
        <v>63.767000000000003</v>
      </c>
      <c r="C25" s="227"/>
      <c r="D25" s="227"/>
      <c r="E25" s="227"/>
      <c r="F25" s="227"/>
    </row>
    <row r="26" spans="1:6">
      <c r="A26" s="289" t="s">
        <v>43</v>
      </c>
      <c r="B26" s="313">
        <v>2026</v>
      </c>
      <c r="C26" s="313"/>
      <c r="D26" s="313"/>
      <c r="E26" s="313"/>
      <c r="F26" s="313"/>
    </row>
    <row r="27" spans="1:6">
      <c r="A27" s="289" t="s">
        <v>172</v>
      </c>
      <c r="B27" s="228" t="s">
        <v>319</v>
      </c>
      <c r="C27" s="228"/>
      <c r="D27" s="228"/>
      <c r="E27" s="228"/>
      <c r="F27" s="228"/>
    </row>
    <row r="28" spans="1:6">
      <c r="A28" s="289" t="s">
        <v>173</v>
      </c>
      <c r="B28" s="228" t="s">
        <v>180</v>
      </c>
      <c r="C28" s="228"/>
      <c r="D28" s="228"/>
      <c r="E28" s="228"/>
      <c r="F28" s="228"/>
    </row>
    <row r="29" spans="1:6">
      <c r="A29" s="289" t="s">
        <v>174</v>
      </c>
      <c r="B29" s="228" t="s">
        <v>243</v>
      </c>
      <c r="C29" s="228"/>
      <c r="D29" s="229"/>
      <c r="E29" s="228"/>
      <c r="F29" s="228"/>
    </row>
    <row r="30" spans="1:6">
      <c r="A30" s="289" t="s">
        <v>175</v>
      </c>
      <c r="B30" s="228" t="s">
        <v>177</v>
      </c>
      <c r="C30" s="228"/>
      <c r="D30" s="229"/>
      <c r="E30" s="228"/>
      <c r="F30" s="228"/>
    </row>
    <row r="31" spans="1:6">
      <c r="A31" s="289" t="s">
        <v>320</v>
      </c>
      <c r="B31" s="232">
        <v>335</v>
      </c>
      <c r="C31" s="228"/>
      <c r="D31" s="229"/>
      <c r="E31" s="228"/>
      <c r="F31" s="228"/>
    </row>
    <row r="32" spans="1:6">
      <c r="A32" s="289" t="s">
        <v>321</v>
      </c>
      <c r="B32" s="232">
        <v>329.5</v>
      </c>
      <c r="C32" s="228"/>
      <c r="D32" s="229"/>
      <c r="E32" s="228"/>
      <c r="F32" s="228"/>
    </row>
    <row r="33" spans="1:6">
      <c r="A33" s="289" t="s">
        <v>322</v>
      </c>
      <c r="B33" s="232">
        <v>45.6</v>
      </c>
      <c r="C33" s="228"/>
      <c r="D33" s="229"/>
      <c r="E33" s="228"/>
      <c r="F33" s="228"/>
    </row>
    <row r="34" spans="1:6">
      <c r="A34" s="289" t="s">
        <v>323</v>
      </c>
      <c r="B34" s="232">
        <v>25.4</v>
      </c>
      <c r="C34" s="228"/>
      <c r="D34" s="229"/>
      <c r="E34" s="228"/>
      <c r="F34" s="228"/>
    </row>
    <row r="35" spans="1:6">
      <c r="A35" s="289" t="s">
        <v>324</v>
      </c>
      <c r="B35" s="233">
        <v>37922.269999999997</v>
      </c>
      <c r="C35" s="228"/>
      <c r="E35" s="228"/>
      <c r="F35" s="228"/>
    </row>
    <row r="36" spans="1:6">
      <c r="A36" s="284" t="s">
        <v>256</v>
      </c>
      <c r="B36" s="287"/>
      <c r="C36" s="136"/>
      <c r="D36" s="229"/>
      <c r="E36" s="147"/>
      <c r="F36" s="147"/>
    </row>
    <row r="37" spans="1:6">
      <c r="A37" s="288" t="s">
        <v>30</v>
      </c>
      <c r="B37" s="223" t="s">
        <v>241</v>
      </c>
      <c r="C37" s="136"/>
      <c r="D37" s="214"/>
      <c r="E37" s="136"/>
      <c r="F37" s="136"/>
    </row>
    <row r="38" spans="1:6">
      <c r="A38" s="288" t="s">
        <v>31</v>
      </c>
      <c r="B38" s="223" t="s">
        <v>242</v>
      </c>
      <c r="C38" s="136"/>
      <c r="D38" s="214"/>
      <c r="E38" s="136"/>
      <c r="F38" s="136"/>
    </row>
    <row r="39" spans="1:6">
      <c r="A39" s="288" t="s">
        <v>329</v>
      </c>
      <c r="B39" s="221"/>
      <c r="C39" s="136"/>
      <c r="D39" s="214"/>
      <c r="E39" s="136"/>
      <c r="F39" s="136"/>
    </row>
    <row r="40" spans="1:6">
      <c r="A40" s="312"/>
      <c r="B40" s="312"/>
      <c r="C40" s="136"/>
      <c r="D40" s="214"/>
      <c r="E40" s="136"/>
      <c r="F40" s="136"/>
    </row>
    <row r="41" spans="1:6">
      <c r="A41" s="140"/>
      <c r="B41" s="140"/>
      <c r="C41" s="136"/>
      <c r="D41" s="136"/>
      <c r="E41" s="136"/>
      <c r="F41" s="136"/>
    </row>
    <row r="42" spans="1:6">
      <c r="A42" s="136"/>
      <c r="B42" s="136"/>
      <c r="C42" s="136"/>
      <c r="D42" s="136"/>
      <c r="E42" s="136"/>
      <c r="F42" s="136"/>
    </row>
    <row r="43" spans="1:6">
      <c r="A43" s="136"/>
      <c r="B43" s="136"/>
      <c r="C43" s="136"/>
      <c r="D43" s="136"/>
      <c r="E43" s="136"/>
      <c r="F43" s="136"/>
    </row>
  </sheetData>
  <sheetProtection selectLockedCells="1"/>
  <mergeCells count="8">
    <mergeCell ref="B3:G3"/>
    <mergeCell ref="B4:G4"/>
    <mergeCell ref="A40:B40"/>
    <mergeCell ref="B21:F21"/>
    <mergeCell ref="B23:F23"/>
    <mergeCell ref="B24:F24"/>
    <mergeCell ref="B26:F26"/>
    <mergeCell ref="B22:F22"/>
  </mergeCells>
  <phoneticPr fontId="0" type="noConversion"/>
  <dataValidations count="5">
    <dataValidation type="list" allowBlank="1" showInputMessage="1" showErrorMessage="1" errorTitle="Valor inválido" error="Selecione somente YES ou NO." promptTitle="Opções permitidas" prompt="Escolha YES ou NO." sqref="C9:C12" xr:uid="{BDFEC7DD-AAD9-466D-9051-3FFD605D7138}">
      <formula1>"YES,NO"</formula1>
    </dataValidation>
    <dataValidation type="list" allowBlank="1" showInputMessage="1" showErrorMessage="1" errorTitle="Valor inválido" error="Selecione somente ROB Survey ou ROB + Sludge Disposal." promptTitle="Serviço" prompt="Escolha uma das duas opções disponíveis." sqref="B6" xr:uid="{0A01DBB6-F0D4-422A-B9B5-C9BBBEAAEB46}">
      <formula1>"ROB Survey,ROB + Sludge Disposal"</formula1>
    </dataValidation>
    <dataValidation type="list" allowBlank="1" showInputMessage="1" showErrorMessage="1" sqref="B39" xr:uid="{40180EDC-330A-4239-9FB2-BE20CB5B958F}">
      <formula1>"2nd Engineer,3rd Engineer,4th Engineer"</formula1>
    </dataValidation>
    <dataValidation type="list" allowBlank="1" showInputMessage="1" showErrorMessage="1" errorTitle="Opção inválida" error="Selecione uma opção da lista." sqref="B9:B12" xr:uid="{4ADCF6B4-8ACD-4B1E-8664-9676E0BDB25B}">
      <formula1>"R HS,R VLS,R ULS,DISTILLATES,LNG"</formula1>
    </dataValidation>
    <dataValidation type="list" allowBlank="1" showInputMessage="1" showErrorMessage="1" errorTitle="Opção inválida" error="Selecione Yes ou No." sqref="B16" xr:uid="{82CFD1AE-CA3E-4558-9C09-20DBE3DBE60B}">
      <formula1>"Yes,No"</formula1>
    </dataValidation>
  </dataValidations>
  <pageMargins left="0.31496062992125984" right="0.23622047244094491" top="0.98425196850393704" bottom="0.98425196850393704" header="0.51181102362204722" footer="0.51181102362204722"/>
  <pageSetup paperSize="9" scale="85" orientation="portrait" blackAndWhite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F2E1-BB2B-41E6-AED1-AAC0B8AE2B0E}">
  <sheetPr codeName="Planilha2"/>
  <dimension ref="A1:U62"/>
  <sheetViews>
    <sheetView showGridLines="0" topLeftCell="A21" zoomScaleNormal="100" zoomScaleSheetLayoutView="100" workbookViewId="0">
      <selection activeCell="I5" sqref="I5"/>
    </sheetView>
  </sheetViews>
  <sheetFormatPr defaultColWidth="9.109375" defaultRowHeight="13.8"/>
  <cols>
    <col min="1" max="1" width="1.33203125" style="46" customWidth="1"/>
    <col min="2" max="2" width="14.44140625" style="46" customWidth="1"/>
    <col min="3" max="3" width="16.77734375" style="46" customWidth="1"/>
    <col min="4" max="4" width="8.44140625" style="46" customWidth="1"/>
    <col min="5" max="5" width="8.5546875" style="46" customWidth="1"/>
    <col min="6" max="6" width="9" style="46" customWidth="1"/>
    <col min="7" max="7" width="6" style="46" customWidth="1"/>
    <col min="8" max="8" width="1.6640625" style="46" bestFit="1" customWidth="1"/>
    <col min="9" max="9" width="6" style="46" customWidth="1"/>
    <col min="10" max="10" width="3.21875" style="46" customWidth="1"/>
    <col min="11" max="11" width="8.77734375" style="46" customWidth="1"/>
    <col min="12" max="12" width="6.5546875" style="46" customWidth="1"/>
    <col min="13" max="13" width="8.109375" style="46" customWidth="1"/>
    <col min="14" max="14" width="7.5546875" style="46" customWidth="1"/>
    <col min="15" max="18" width="9.109375" style="46" hidden="1" customWidth="1"/>
    <col min="19" max="19" width="1.109375" style="46" customWidth="1"/>
    <col min="20" max="20" width="7.44140625" style="46" customWidth="1"/>
    <col min="21" max="21" width="6.5546875" style="46" customWidth="1"/>
    <col min="22" max="16384" width="9.109375" style="46"/>
  </cols>
  <sheetData>
    <row r="1" spans="2:21" ht="9.75" customHeight="1">
      <c r="B1" s="47"/>
      <c r="C1" s="47"/>
      <c r="D1" s="47"/>
      <c r="E1" s="47"/>
      <c r="F1" s="47"/>
      <c r="G1" s="47"/>
      <c r="H1" s="9"/>
      <c r="I1" s="9"/>
      <c r="J1" s="9"/>
      <c r="K1" s="9"/>
      <c r="L1" s="9"/>
      <c r="M1" s="9"/>
      <c r="N1" s="9"/>
      <c r="U1" s="48"/>
    </row>
    <row r="2" spans="2:21" ht="15" customHeight="1">
      <c r="B2" s="320" t="s">
        <v>263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</row>
    <row r="3" spans="2:21">
      <c r="D3" s="50"/>
      <c r="E3" s="50"/>
      <c r="K3" s="49"/>
    </row>
    <row r="4" spans="2:21">
      <c r="D4" s="50"/>
      <c r="E4" s="50"/>
      <c r="F4" s="280" t="s">
        <v>116</v>
      </c>
      <c r="G4" s="325" t="s">
        <v>258</v>
      </c>
      <c r="H4" s="326"/>
      <c r="I4" s="327"/>
      <c r="J4" s="276"/>
      <c r="K4" s="49"/>
    </row>
    <row r="5" spans="2:21" ht="14.4">
      <c r="B5" s="96" t="s">
        <v>137</v>
      </c>
      <c r="C5" s="97"/>
      <c r="F5" s="235">
        <v>46188</v>
      </c>
      <c r="G5" s="281">
        <v>0.41666666666666669</v>
      </c>
      <c r="H5" s="282" t="s">
        <v>325</v>
      </c>
      <c r="I5" s="283"/>
      <c r="J5" s="93"/>
      <c r="K5" s="53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spans="2:21" ht="15" customHeight="1">
      <c r="B6" s="96" t="s">
        <v>138</v>
      </c>
      <c r="C6" s="97"/>
      <c r="F6" s="235">
        <v>46188</v>
      </c>
      <c r="G6" s="236">
        <v>0.45833333333333331</v>
      </c>
      <c r="H6" s="239" t="s">
        <v>325</v>
      </c>
      <c r="I6" s="242"/>
      <c r="J6" s="93"/>
      <c r="K6" s="53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2:21" ht="14.4">
      <c r="B7" s="96" t="s">
        <v>139</v>
      </c>
      <c r="C7" s="97"/>
      <c r="F7" s="235">
        <v>46188</v>
      </c>
      <c r="G7" s="236">
        <v>0.5</v>
      </c>
      <c r="H7" s="239" t="s">
        <v>325</v>
      </c>
      <c r="I7" s="242"/>
      <c r="J7" s="93"/>
      <c r="K7" s="53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spans="2:21" ht="14.4">
      <c r="B8" s="96" t="s">
        <v>259</v>
      </c>
      <c r="C8" s="97"/>
      <c r="F8" s="235">
        <v>46188</v>
      </c>
      <c r="G8" s="236">
        <v>0.5</v>
      </c>
      <c r="H8" s="239" t="s">
        <v>325</v>
      </c>
      <c r="I8" s="242">
        <v>0.50694444444444442</v>
      </c>
      <c r="J8" s="93"/>
      <c r="K8" s="53"/>
      <c r="L8" s="51"/>
      <c r="M8" s="51"/>
      <c r="N8" s="51"/>
      <c r="O8" s="51"/>
      <c r="P8" s="51"/>
      <c r="Q8" s="51"/>
      <c r="R8" s="51"/>
      <c r="S8" s="51"/>
      <c r="T8" s="51"/>
      <c r="U8" s="51"/>
    </row>
    <row r="9" spans="2:21" ht="14.4">
      <c r="B9" s="96" t="s">
        <v>140</v>
      </c>
      <c r="C9" s="97"/>
      <c r="F9" s="235">
        <v>46188</v>
      </c>
      <c r="G9" s="236">
        <v>0.50694444444444442</v>
      </c>
      <c r="H9" s="239" t="s">
        <v>325</v>
      </c>
      <c r="I9" s="242">
        <v>0.54166666666666663</v>
      </c>
      <c r="J9" s="93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2:21" ht="14.4">
      <c r="B10" s="96" t="s">
        <v>168</v>
      </c>
      <c r="C10" s="97"/>
      <c r="F10" s="235">
        <v>46188</v>
      </c>
      <c r="G10" s="238">
        <v>0.49305555555555558</v>
      </c>
      <c r="H10" s="240" t="s">
        <v>325</v>
      </c>
      <c r="I10" s="243"/>
      <c r="J10" s="93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2:21" ht="14.4">
      <c r="B11" s="96" t="s">
        <v>260</v>
      </c>
      <c r="C11" s="97"/>
      <c r="F11" s="235">
        <v>46188</v>
      </c>
      <c r="G11" s="237">
        <v>0.52083333333333337</v>
      </c>
      <c r="H11" s="241" t="s">
        <v>325</v>
      </c>
      <c r="I11" s="244"/>
      <c r="J11" s="9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2:21" ht="13.5" customHeight="1">
      <c r="B12" s="96" t="s">
        <v>169</v>
      </c>
      <c r="C12" s="97"/>
      <c r="F12" s="235">
        <v>46188</v>
      </c>
      <c r="G12" s="237">
        <v>0.54166666666666663</v>
      </c>
      <c r="H12" s="241" t="s">
        <v>325</v>
      </c>
      <c r="I12" s="244">
        <v>0.91666666666666663</v>
      </c>
      <c r="J12" s="93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 spans="2:21" ht="13.5" customHeight="1">
      <c r="B13" s="96" t="s">
        <v>261</v>
      </c>
      <c r="C13" s="97"/>
      <c r="F13" s="235">
        <v>46188</v>
      </c>
      <c r="G13" s="237">
        <v>0.91666666666666663</v>
      </c>
      <c r="H13" s="241" t="s">
        <v>325</v>
      </c>
      <c r="I13" s="244">
        <v>0.95833333333333337</v>
      </c>
      <c r="J13" s="93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2:21" ht="15" customHeight="1">
      <c r="B14" s="96" t="s">
        <v>148</v>
      </c>
      <c r="C14" s="97"/>
      <c r="F14" s="235">
        <v>46189</v>
      </c>
      <c r="G14" s="237">
        <v>0</v>
      </c>
      <c r="H14" s="241" t="s">
        <v>325</v>
      </c>
      <c r="I14" s="244">
        <v>4.1666666666666664E-2</v>
      </c>
      <c r="J14" s="93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 spans="2:21" ht="14.4">
      <c r="B15" s="96" t="s">
        <v>141</v>
      </c>
      <c r="C15" s="97"/>
      <c r="F15" s="235">
        <v>46189</v>
      </c>
      <c r="G15" s="281">
        <v>4.8611111111111112E-2</v>
      </c>
      <c r="H15" s="282" t="s">
        <v>325</v>
      </c>
      <c r="I15" s="283"/>
      <c r="J15" s="93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2:21" ht="14.4">
      <c r="B16" s="96" t="s">
        <v>142</v>
      </c>
      <c r="C16" s="97"/>
      <c r="F16" s="304">
        <v>46189</v>
      </c>
      <c r="G16" s="238">
        <v>5.2083333333333336E-2</v>
      </c>
      <c r="H16" s="303" t="s">
        <v>325</v>
      </c>
      <c r="I16" s="302"/>
      <c r="J16" s="9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 ht="14.4">
      <c r="B17" s="60"/>
      <c r="C17" s="51"/>
      <c r="D17" s="51"/>
      <c r="E17" s="51"/>
      <c r="F17" s="51"/>
      <c r="G17" s="56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pans="1:21" ht="12.75" customHeight="1"/>
    <row r="19" spans="1:21" ht="14.4">
      <c r="B19" s="60" t="s">
        <v>122</v>
      </c>
      <c r="C19" s="51"/>
      <c r="D19" s="51"/>
      <c r="E19" s="51"/>
      <c r="F19" s="51"/>
      <c r="G19" s="56"/>
      <c r="H19" s="51"/>
      <c r="I19" s="51"/>
      <c r="J19" s="51"/>
      <c r="K19" s="51" t="s">
        <v>262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1:21" ht="14.4">
      <c r="B20" s="61" t="s">
        <v>124</v>
      </c>
      <c r="C20" s="51"/>
      <c r="D20" s="51"/>
      <c r="E20" s="51"/>
      <c r="F20" s="51"/>
      <c r="G20" s="56"/>
      <c r="H20" s="51"/>
      <c r="I20" s="51"/>
      <c r="J20" s="51"/>
      <c r="K20" s="94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1:21" ht="14.4">
      <c r="B21" s="61" t="s">
        <v>125</v>
      </c>
      <c r="C21" s="51"/>
      <c r="D21" s="51"/>
      <c r="E21" s="51"/>
      <c r="F21" s="51"/>
      <c r="G21" s="56"/>
      <c r="H21" s="51"/>
      <c r="I21" s="51"/>
      <c r="J21" s="277"/>
      <c r="K21" s="94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1:21" ht="14.4">
      <c r="B22" s="61" t="s">
        <v>179</v>
      </c>
      <c r="C22" s="51"/>
      <c r="D22" s="51"/>
      <c r="E22" s="51"/>
      <c r="F22" s="51"/>
      <c r="G22" s="56"/>
      <c r="H22" s="51"/>
      <c r="I22" s="51"/>
      <c r="J22" s="51"/>
      <c r="K22" s="94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4.4">
      <c r="B23" s="61" t="s">
        <v>126</v>
      </c>
      <c r="C23" s="51"/>
      <c r="D23" s="51"/>
      <c r="E23" s="51"/>
      <c r="F23" s="51"/>
      <c r="G23" s="51"/>
      <c r="H23" s="51"/>
      <c r="I23" s="51"/>
      <c r="J23" s="279"/>
      <c r="K23" s="278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21" ht="14.4">
      <c r="B24" s="61" t="s">
        <v>165</v>
      </c>
      <c r="C24" s="51"/>
      <c r="D24" s="51"/>
      <c r="E24" s="51"/>
      <c r="F24" s="51"/>
      <c r="G24" s="51"/>
      <c r="H24" s="51"/>
      <c r="I24" s="51"/>
      <c r="J24" s="279"/>
      <c r="K24" s="278"/>
      <c r="L24" s="51" t="s">
        <v>164</v>
      </c>
      <c r="M24" s="230"/>
      <c r="N24" s="51" t="s">
        <v>166</v>
      </c>
      <c r="O24" s="51"/>
      <c r="P24" s="51"/>
      <c r="Q24" s="51"/>
      <c r="R24" s="51"/>
      <c r="S24" s="51"/>
      <c r="T24" s="95"/>
      <c r="U24" s="51"/>
    </row>
    <row r="25" spans="1:21" ht="14.4">
      <c r="B25" s="61" t="s">
        <v>127</v>
      </c>
      <c r="C25" s="51"/>
      <c r="D25" s="51"/>
      <c r="E25" s="51"/>
      <c r="F25" s="51"/>
      <c r="G25" s="51"/>
      <c r="H25" s="51"/>
      <c r="I25" s="51"/>
      <c r="J25" s="277"/>
      <c r="K25" s="94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1:21" ht="14.4">
      <c r="B26" s="61" t="s">
        <v>128</v>
      </c>
      <c r="C26" s="51"/>
      <c r="D26" s="51"/>
      <c r="E26" s="51"/>
      <c r="F26" s="51"/>
      <c r="G26" s="51"/>
      <c r="H26" s="51"/>
      <c r="I26" s="51"/>
      <c r="J26" s="277"/>
      <c r="K26" s="94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 ht="14.4">
      <c r="B27" s="61" t="s">
        <v>129</v>
      </c>
      <c r="C27" s="51"/>
      <c r="D27" s="51"/>
      <c r="E27" s="51"/>
      <c r="F27" s="51"/>
      <c r="G27" s="51"/>
      <c r="H27" s="51"/>
      <c r="I27" s="51"/>
      <c r="J27" s="51"/>
      <c r="K27" s="94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1" ht="14.4">
      <c r="B28" s="61" t="s">
        <v>147</v>
      </c>
      <c r="C28" s="51"/>
      <c r="D28" s="51"/>
      <c r="E28" s="51"/>
      <c r="F28" s="54" t="s">
        <v>143</v>
      </c>
      <c r="G28" s="51"/>
      <c r="H28" s="51"/>
      <c r="I28" s="51"/>
      <c r="J28" s="51"/>
      <c r="K28" s="94"/>
      <c r="L28" s="51" t="s">
        <v>164</v>
      </c>
      <c r="M28" s="95"/>
      <c r="N28" s="51"/>
      <c r="O28" s="51"/>
      <c r="P28" s="51"/>
      <c r="Q28" s="51"/>
      <c r="R28" s="51"/>
      <c r="S28" s="51"/>
      <c r="T28" s="51"/>
      <c r="U28" s="51"/>
    </row>
    <row r="29" spans="1:21" ht="14.4">
      <c r="B29" s="61" t="s">
        <v>147</v>
      </c>
      <c r="C29" s="51"/>
      <c r="D29" s="51"/>
      <c r="E29" s="51"/>
      <c r="F29" s="54" t="s">
        <v>144</v>
      </c>
      <c r="G29" s="51"/>
      <c r="H29" s="51"/>
      <c r="I29" s="51"/>
      <c r="J29" s="51"/>
      <c r="K29" s="94"/>
      <c r="L29" s="51" t="s">
        <v>164</v>
      </c>
      <c r="M29" s="95"/>
      <c r="N29" s="51"/>
      <c r="O29" s="51"/>
      <c r="P29" s="51"/>
      <c r="Q29" s="51"/>
      <c r="R29" s="51"/>
      <c r="S29" s="51"/>
      <c r="T29" s="51"/>
      <c r="U29" s="51"/>
    </row>
    <row r="30" spans="1:21" ht="14.4">
      <c r="B30" s="61" t="s">
        <v>147</v>
      </c>
      <c r="C30" s="51"/>
      <c r="D30" s="51"/>
      <c r="E30" s="51"/>
      <c r="F30" s="54" t="s">
        <v>145</v>
      </c>
      <c r="G30" s="51"/>
      <c r="H30" s="51"/>
      <c r="I30" s="51"/>
      <c r="J30" s="51"/>
      <c r="K30" s="94"/>
      <c r="L30" s="51" t="s">
        <v>164</v>
      </c>
      <c r="M30" s="86"/>
      <c r="N30" s="51"/>
      <c r="O30" s="51"/>
      <c r="P30" s="51"/>
      <c r="Q30" s="51"/>
      <c r="R30" s="51"/>
      <c r="S30" s="51"/>
      <c r="T30" s="51"/>
      <c r="U30" s="51"/>
    </row>
    <row r="31" spans="1:21" ht="14.4">
      <c r="B31" s="321" t="s">
        <v>152</v>
      </c>
      <c r="C31" s="321"/>
      <c r="D31" s="321"/>
      <c r="E31" s="321"/>
      <c r="F31" s="321"/>
      <c r="G31" s="321"/>
      <c r="H31" s="321"/>
      <c r="I31" s="321"/>
      <c r="J31" s="275"/>
      <c r="K31" s="94"/>
      <c r="L31" s="51"/>
      <c r="M31" s="51"/>
      <c r="N31" s="51"/>
      <c r="O31" s="55"/>
      <c r="P31" s="51"/>
      <c r="Q31" s="51"/>
      <c r="R31" s="51"/>
      <c r="S31" s="51"/>
      <c r="T31" s="51"/>
      <c r="U31" s="51"/>
    </row>
    <row r="32" spans="1:21" ht="14.4">
      <c r="A32" s="51"/>
      <c r="B32" s="76" t="s">
        <v>162</v>
      </c>
      <c r="C32" s="86"/>
      <c r="D32" s="59" t="s">
        <v>167</v>
      </c>
      <c r="E32" s="86"/>
      <c r="F32" s="59" t="s">
        <v>264</v>
      </c>
      <c r="G32" s="86"/>
      <c r="H32" s="51"/>
      <c r="I32" s="51"/>
      <c r="J32" s="51"/>
      <c r="K32" s="51"/>
      <c r="L32" s="51"/>
      <c r="M32" s="51"/>
      <c r="N32" s="51"/>
      <c r="O32" s="55"/>
      <c r="P32" s="51"/>
      <c r="Q32" s="51"/>
      <c r="R32" s="51"/>
      <c r="S32" s="51"/>
      <c r="T32" s="51"/>
      <c r="U32" s="51"/>
    </row>
    <row r="33" spans="2:21">
      <c r="B33" s="98" t="s">
        <v>266</v>
      </c>
      <c r="C33" s="86"/>
      <c r="D33" s="59" t="s">
        <v>265</v>
      </c>
      <c r="E33" s="86"/>
      <c r="G33" s="51"/>
      <c r="H33" s="51"/>
      <c r="I33" s="51"/>
      <c r="J33" s="51"/>
      <c r="K33" s="51"/>
      <c r="L33" s="51"/>
      <c r="M33" s="51"/>
      <c r="N33" s="51"/>
      <c r="O33" s="55"/>
      <c r="P33" s="51"/>
      <c r="Q33" s="51"/>
      <c r="R33" s="51"/>
      <c r="S33" s="51"/>
      <c r="T33" s="51"/>
      <c r="U33" s="51"/>
    </row>
    <row r="34" spans="2:21" ht="14.4">
      <c r="B34" s="61"/>
      <c r="F34" s="51"/>
      <c r="G34" s="51"/>
      <c r="H34" s="51"/>
      <c r="I34" s="51"/>
      <c r="J34" s="51"/>
      <c r="K34" s="51"/>
      <c r="L34" s="51"/>
      <c r="M34" s="51"/>
      <c r="N34" s="51"/>
      <c r="O34" s="55"/>
      <c r="P34" s="51"/>
      <c r="Q34" s="51"/>
      <c r="R34" s="51"/>
      <c r="S34" s="51"/>
      <c r="T34" s="51"/>
      <c r="U34" s="51"/>
    </row>
    <row r="35" spans="2:21" ht="14.4">
      <c r="B35" s="99" t="s">
        <v>267</v>
      </c>
      <c r="C35" s="51"/>
      <c r="D35" s="51"/>
      <c r="E35" s="51"/>
      <c r="F35" s="51"/>
      <c r="G35" s="56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2:21">
      <c r="B36" s="306" t="s">
        <v>332</v>
      </c>
      <c r="C36" s="86" t="s">
        <v>318</v>
      </c>
      <c r="D36" s="51"/>
      <c r="E36" s="51"/>
      <c r="F36" s="51"/>
      <c r="G36" s="56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 spans="2:21" ht="14.4">
      <c r="B37" s="99" t="s">
        <v>331</v>
      </c>
      <c r="C37" s="86" t="s">
        <v>334</v>
      </c>
      <c r="D37" s="51"/>
      <c r="E37" s="51"/>
      <c r="F37" s="51"/>
      <c r="G37" s="56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2:21" ht="14.4">
      <c r="B38" s="99" t="s">
        <v>333</v>
      </c>
      <c r="C38" s="86" t="s">
        <v>335</v>
      </c>
      <c r="D38" s="51"/>
      <c r="E38" s="51"/>
      <c r="F38" s="51"/>
      <c r="G38" s="56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2:21" ht="14.4">
      <c r="B39" s="60" t="s">
        <v>268</v>
      </c>
      <c r="C39" s="86">
        <v>30</v>
      </c>
      <c r="D39" s="51" t="s">
        <v>130</v>
      </c>
    </row>
    <row r="40" spans="2:21" ht="14.4">
      <c r="B40" s="60" t="s">
        <v>269</v>
      </c>
      <c r="C40" s="86">
        <v>21</v>
      </c>
      <c r="D40" s="51" t="s">
        <v>130</v>
      </c>
    </row>
    <row r="42" spans="2:21" ht="14.4">
      <c r="B42" s="60" t="s">
        <v>178</v>
      </c>
      <c r="G42" s="56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spans="2:21" ht="14.4">
      <c r="B43" s="316"/>
      <c r="C43" s="317"/>
      <c r="D43" s="317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8"/>
    </row>
    <row r="44" spans="2:21" ht="14.4">
      <c r="B44" s="316"/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8"/>
    </row>
    <row r="45" spans="2:21" ht="14.4">
      <c r="B45" s="316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8"/>
    </row>
    <row r="46" spans="2:21" ht="14.4"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</row>
    <row r="47" spans="2:21" ht="14.4">
      <c r="B47" s="316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8"/>
    </row>
    <row r="48" spans="2:21">
      <c r="B48" s="322"/>
      <c r="C48" s="323"/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4"/>
    </row>
    <row r="49" spans="2:21"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</row>
    <row r="50" spans="2:21"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</row>
    <row r="51" spans="2:21"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</row>
    <row r="52" spans="2:21"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</row>
    <row r="53" spans="2:21"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</row>
    <row r="54" spans="2:21"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</row>
    <row r="55" spans="2:21">
      <c r="B55" s="57"/>
      <c r="C55" s="57"/>
      <c r="D55" s="57"/>
      <c r="E55" s="57"/>
      <c r="F55" s="58"/>
      <c r="G55" s="58"/>
      <c r="H55" s="58"/>
      <c r="I55" s="59"/>
      <c r="J55" s="59"/>
      <c r="K55" s="59"/>
      <c r="L55" s="59"/>
      <c r="M55" s="59"/>
      <c r="N55" s="59"/>
      <c r="O55" s="51"/>
      <c r="P55" s="51"/>
      <c r="Q55" s="51"/>
      <c r="R55" s="51"/>
      <c r="S55" s="51"/>
      <c r="T55" s="51"/>
      <c r="U55" s="51"/>
    </row>
    <row r="56" spans="2:21">
      <c r="B56" s="315"/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</row>
    <row r="57" spans="2:21"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</row>
    <row r="58" spans="2:21">
      <c r="B58" s="315"/>
      <c r="C58" s="315"/>
      <c r="D58" s="315"/>
      <c r="E58" s="315"/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</row>
    <row r="59" spans="2:21">
      <c r="B59" s="315"/>
      <c r="C59" s="315"/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</row>
    <row r="60" spans="2:21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</row>
    <row r="61" spans="2:21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</row>
    <row r="62" spans="2:21">
      <c r="O62" s="52"/>
    </row>
  </sheetData>
  <mergeCells count="16">
    <mergeCell ref="B2:N2"/>
    <mergeCell ref="B52:U52"/>
    <mergeCell ref="B31:I31"/>
    <mergeCell ref="B48:U48"/>
    <mergeCell ref="B49:U49"/>
    <mergeCell ref="G4:I4"/>
    <mergeCell ref="B53:U53"/>
    <mergeCell ref="B54:U54"/>
    <mergeCell ref="B56:U59"/>
    <mergeCell ref="B43:U43"/>
    <mergeCell ref="B44:U44"/>
    <mergeCell ref="B45:U45"/>
    <mergeCell ref="B46:U46"/>
    <mergeCell ref="B47:U47"/>
    <mergeCell ref="B51:U51"/>
    <mergeCell ref="B50:U50"/>
  </mergeCells>
  <dataValidations count="2">
    <dataValidation type="list" allowBlank="1" showInputMessage="1" showErrorMessage="1" sqref="T24 G32 C32:C33 E33 K20:K31" xr:uid="{72A38848-59D6-4BB6-A60F-11E69BA4B7BC}">
      <formula1>"Yes,No"</formula1>
    </dataValidation>
    <dataValidation type="list" allowBlank="1" showInputMessage="1" showErrorMessage="1" errorTitle="Valor inválido" error="Selecione somente Display at ECR, Glass thermometer ou Infrared thermometer." promptTitle="Tipo de leitura" prompt="Escolha uma das opções disponíveis." sqref="C36:C38" xr:uid="{A8A3B1A4-34F9-4CE8-B043-00AB11F9430A}">
      <formula1>"Sea Water,ER,Display ECR,Glass thermometer,Infrared Thermometer"</formula1>
    </dataValidation>
  </dataValidations>
  <pageMargins left="0.511811024" right="0.511811024" top="0.78740157499999996" bottom="0.78740157499999996" header="0.31496062000000002" footer="0.31496062000000002"/>
  <pageSetup paperSize="9" scale="7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BD4E-E512-4FF0-840C-BD4AE1E683CB}">
  <sheetPr codeName="Planilha3"/>
  <dimension ref="A1:L55"/>
  <sheetViews>
    <sheetView showGridLines="0" topLeftCell="A7" zoomScaleNormal="100" zoomScaleSheetLayoutView="100" workbookViewId="0">
      <selection activeCell="F26" sqref="F26:G26"/>
    </sheetView>
  </sheetViews>
  <sheetFormatPr defaultRowHeight="13.2"/>
  <cols>
    <col min="4" max="4" width="26.44140625" customWidth="1"/>
    <col min="5" max="5" width="11.88671875" customWidth="1"/>
    <col min="6" max="6" width="12.77734375" customWidth="1"/>
    <col min="7" max="7" width="4.44140625" customWidth="1"/>
    <col min="8" max="8" width="4.77734375" customWidth="1"/>
    <col min="10" max="10" width="1.109375" customWidth="1"/>
  </cols>
  <sheetData>
    <row r="1" spans="1:12" ht="51" customHeight="1"/>
    <row r="4" spans="1:12" ht="13.8">
      <c r="A4" s="141" t="s">
        <v>78</v>
      </c>
      <c r="B4" s="136"/>
      <c r="C4" s="136" t="str">
        <f>Summary!B7</f>
        <v>MSC SABRINA</v>
      </c>
      <c r="D4" s="136"/>
      <c r="E4" s="142" t="s">
        <v>41</v>
      </c>
      <c r="F4" s="136">
        <f>Summary!B21</f>
        <v>9979022</v>
      </c>
      <c r="G4" s="136"/>
      <c r="H4" s="141" t="s">
        <v>66</v>
      </c>
      <c r="I4" s="140" t="str">
        <f>Summary!B8</f>
        <v>MM623R</v>
      </c>
      <c r="L4" s="10"/>
    </row>
    <row r="5" spans="1:12" ht="13.8">
      <c r="A5" s="141" t="s">
        <v>33</v>
      </c>
      <c r="B5" s="136"/>
      <c r="C5" s="307" t="str">
        <f>Summary!B13</f>
        <v>TERMINAL DE CONTAINER DE PARANAGUA</v>
      </c>
      <c r="D5" s="136"/>
      <c r="E5" s="142" t="s">
        <v>170</v>
      </c>
      <c r="F5" s="144">
        <f>'Time Log'!F7</f>
        <v>46188</v>
      </c>
      <c r="G5" s="333">
        <f>'Time Log'!G7</f>
        <v>0.5</v>
      </c>
      <c r="H5" s="333"/>
      <c r="I5" s="144" t="s">
        <v>316</v>
      </c>
      <c r="J5" s="6"/>
      <c r="K5" s="6"/>
      <c r="L5" s="10"/>
    </row>
    <row r="6" spans="1:12">
      <c r="A6" s="141" t="s">
        <v>34</v>
      </c>
      <c r="B6" s="136"/>
      <c r="C6" s="145" t="str">
        <f>Summary!B14</f>
        <v>PARANAGUA</v>
      </c>
      <c r="D6" s="145"/>
      <c r="E6" s="142" t="s">
        <v>171</v>
      </c>
      <c r="F6" s="144">
        <f>'Time Log'!F14</f>
        <v>46189</v>
      </c>
      <c r="G6" s="333">
        <f>'Time Log'!I14</f>
        <v>4.1666666666666664E-2</v>
      </c>
      <c r="H6" s="333"/>
      <c r="I6" s="136" t="s">
        <v>316</v>
      </c>
    </row>
    <row r="7" spans="1:12">
      <c r="A7" s="2"/>
      <c r="B7" s="2"/>
      <c r="C7" s="2"/>
      <c r="D7" s="2"/>
      <c r="E7" s="2"/>
      <c r="F7" s="2"/>
      <c r="G7" s="2"/>
      <c r="H7" s="2"/>
      <c r="I7" s="2"/>
    </row>
    <row r="8" spans="1:12" ht="15">
      <c r="A8" s="334" t="s">
        <v>98</v>
      </c>
      <c r="B8" s="334"/>
      <c r="C8" s="334"/>
      <c r="D8" s="334"/>
      <c r="E8" s="334"/>
      <c r="F8" s="334"/>
      <c r="G8" s="334"/>
      <c r="H8" s="334"/>
      <c r="I8" s="334"/>
      <c r="J8" s="26"/>
      <c r="K8" s="26"/>
    </row>
    <row r="9" spans="1:12">
      <c r="A9" s="2"/>
      <c r="B9" s="2"/>
      <c r="C9" s="2"/>
      <c r="D9" s="2"/>
      <c r="E9" s="2"/>
      <c r="F9" s="2"/>
      <c r="G9" s="2"/>
      <c r="H9" s="2"/>
      <c r="I9" s="2"/>
    </row>
    <row r="10" spans="1:12">
      <c r="A10" s="336" t="s">
        <v>47</v>
      </c>
      <c r="B10" s="336"/>
      <c r="C10" s="336"/>
      <c r="D10" s="336"/>
      <c r="E10" s="135" t="s">
        <v>12</v>
      </c>
      <c r="F10" s="337" t="s">
        <v>45</v>
      </c>
      <c r="G10" s="337"/>
      <c r="H10" s="337"/>
      <c r="I10" s="2"/>
    </row>
    <row r="11" spans="1:12">
      <c r="A11" s="2" t="s">
        <v>73</v>
      </c>
      <c r="B11" s="2"/>
      <c r="C11" s="2"/>
      <c r="D11" s="2"/>
      <c r="E11" s="4" t="str">
        <f>Summary!B9</f>
        <v>R HS</v>
      </c>
      <c r="F11" s="335">
        <f>'Vessel Ullage'!N43</f>
        <v>114.77999999999997</v>
      </c>
      <c r="G11" s="335"/>
      <c r="H11" s="4" t="s">
        <v>17</v>
      </c>
      <c r="I11" s="2"/>
    </row>
    <row r="12" spans="1:12">
      <c r="A12" s="2" t="s">
        <v>157</v>
      </c>
      <c r="B12" s="2"/>
      <c r="C12" s="2"/>
      <c r="D12" s="2"/>
      <c r="E12" s="4" t="str">
        <f>E11</f>
        <v>R HS</v>
      </c>
      <c r="F12" s="335">
        <f>'Vessel Ullage'!K48</f>
        <v>151</v>
      </c>
      <c r="G12" s="335"/>
      <c r="H12" s="4" t="s">
        <v>17</v>
      </c>
      <c r="I12" s="2"/>
    </row>
    <row r="13" spans="1:12">
      <c r="A13" s="2" t="s">
        <v>72</v>
      </c>
      <c r="B13" s="2"/>
      <c r="C13" s="2"/>
      <c r="D13" s="2"/>
      <c r="E13" s="4" t="str">
        <f>E11</f>
        <v>R HS</v>
      </c>
      <c r="F13" s="335">
        <f>F11-F12</f>
        <v>-36.220000000000027</v>
      </c>
      <c r="G13" s="335"/>
      <c r="H13" s="4" t="s">
        <v>17</v>
      </c>
      <c r="I13" s="2"/>
    </row>
    <row r="14" spans="1:12">
      <c r="A14" s="2" t="s">
        <v>74</v>
      </c>
      <c r="B14" s="2"/>
      <c r="C14" s="2"/>
      <c r="D14" s="2"/>
      <c r="E14" s="4" t="str">
        <f>E11</f>
        <v>R HS</v>
      </c>
      <c r="F14" s="335">
        <f>IFERROR(F13/F12*100,0)</f>
        <v>-23.986754966887435</v>
      </c>
      <c r="G14" s="335"/>
      <c r="H14" s="4" t="s">
        <v>46</v>
      </c>
      <c r="I14" s="2"/>
    </row>
    <row r="15" spans="1:12">
      <c r="A15" s="2"/>
      <c r="B15" s="2"/>
      <c r="C15" s="2"/>
      <c r="D15" s="2"/>
      <c r="E15" s="4"/>
      <c r="F15" s="149"/>
      <c r="G15" s="149"/>
      <c r="H15" s="4"/>
      <c r="I15" s="2"/>
    </row>
    <row r="16" spans="1:12">
      <c r="A16" s="2" t="s">
        <v>73</v>
      </c>
      <c r="B16" s="2"/>
      <c r="C16" s="2"/>
      <c r="D16" s="2"/>
      <c r="E16" s="4" t="str">
        <f>Summary!B10</f>
        <v>R VLS</v>
      </c>
      <c r="F16" s="329">
        <f>'Vessel Ullage'!N44</f>
        <v>581.67999999999995</v>
      </c>
      <c r="G16" s="329"/>
      <c r="H16" s="4" t="s">
        <v>17</v>
      </c>
      <c r="I16" s="2"/>
    </row>
    <row r="17" spans="1:9">
      <c r="A17" s="2" t="s">
        <v>157</v>
      </c>
      <c r="B17" s="2"/>
      <c r="C17" s="2"/>
      <c r="D17" s="2"/>
      <c r="E17" s="4" t="str">
        <f>E16</f>
        <v>R VLS</v>
      </c>
      <c r="F17" s="329">
        <f>'Vessel Ullage'!K49</f>
        <v>161</v>
      </c>
      <c r="G17" s="329"/>
      <c r="H17" s="4" t="s">
        <v>17</v>
      </c>
      <c r="I17" s="2"/>
    </row>
    <row r="18" spans="1:9">
      <c r="A18" s="2" t="s">
        <v>72</v>
      </c>
      <c r="B18" s="2"/>
      <c r="C18" s="2"/>
      <c r="D18" s="2"/>
      <c r="E18" s="4" t="str">
        <f>E16</f>
        <v>R VLS</v>
      </c>
      <c r="F18" s="329">
        <f>F16-F17</f>
        <v>420.67999999999995</v>
      </c>
      <c r="G18" s="329"/>
      <c r="H18" s="4" t="s">
        <v>17</v>
      </c>
      <c r="I18" s="2"/>
    </row>
    <row r="19" spans="1:9">
      <c r="A19" s="2" t="s">
        <v>74</v>
      </c>
      <c r="B19" s="2"/>
      <c r="C19" s="2"/>
      <c r="D19" s="2"/>
      <c r="E19" s="4" t="str">
        <f>E16</f>
        <v>R VLS</v>
      </c>
      <c r="F19" s="329">
        <f>IFERROR(F18/F17*100,0)</f>
        <v>261.29192546583846</v>
      </c>
      <c r="G19" s="329"/>
      <c r="H19" s="4" t="s">
        <v>46</v>
      </c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 t="s">
        <v>73</v>
      </c>
      <c r="B21" s="2"/>
      <c r="C21" s="2"/>
      <c r="D21" s="2"/>
      <c r="E21" s="4" t="str">
        <f>Summary!B11</f>
        <v>DISTILLATES</v>
      </c>
      <c r="F21" s="329">
        <f>'Vessel Ullage'!N45</f>
        <v>3.5045000000000002</v>
      </c>
      <c r="G21" s="329"/>
      <c r="H21" s="4" t="s">
        <v>17</v>
      </c>
      <c r="I21" s="2"/>
    </row>
    <row r="22" spans="1:9">
      <c r="A22" s="2" t="s">
        <v>157</v>
      </c>
      <c r="B22" s="2"/>
      <c r="C22" s="2"/>
      <c r="D22" s="2"/>
      <c r="E22" s="4" t="str">
        <f>E21</f>
        <v>DISTILLATES</v>
      </c>
      <c r="F22" s="329">
        <f>'Vessel Ullage'!K50</f>
        <v>171</v>
      </c>
      <c r="G22" s="329"/>
      <c r="H22" s="4" t="s">
        <v>17</v>
      </c>
      <c r="I22" s="2"/>
    </row>
    <row r="23" spans="1:9">
      <c r="A23" s="2" t="s">
        <v>72</v>
      </c>
      <c r="B23" s="2"/>
      <c r="C23" s="2"/>
      <c r="D23" s="2"/>
      <c r="E23" s="4" t="str">
        <f>E21</f>
        <v>DISTILLATES</v>
      </c>
      <c r="F23" s="329">
        <f>F21-F22</f>
        <v>-167.49549999999999</v>
      </c>
      <c r="G23" s="329"/>
      <c r="H23" s="4" t="s">
        <v>17</v>
      </c>
      <c r="I23" s="2"/>
    </row>
    <row r="24" spans="1:9">
      <c r="A24" s="2" t="s">
        <v>74</v>
      </c>
      <c r="B24" s="2"/>
      <c r="C24" s="2"/>
      <c r="D24" s="2"/>
      <c r="E24" s="4" t="str">
        <f>E21</f>
        <v>DISTILLATES</v>
      </c>
      <c r="F24" s="329">
        <f>IFERROR(F23/F22*100,0)</f>
        <v>-97.950584795321632</v>
      </c>
      <c r="G24" s="329"/>
      <c r="H24" s="4" t="s">
        <v>46</v>
      </c>
      <c r="I24" s="2"/>
    </row>
    <row r="25" spans="1:9">
      <c r="A25" s="2"/>
      <c r="B25" s="2"/>
      <c r="C25" s="2"/>
      <c r="D25" s="2"/>
      <c r="E25" s="4"/>
      <c r="F25" s="150"/>
      <c r="G25" s="150"/>
      <c r="H25" s="4"/>
      <c r="I25" s="2"/>
    </row>
    <row r="26" spans="1:9">
      <c r="A26" s="2" t="s">
        <v>73</v>
      </c>
      <c r="B26" s="2"/>
      <c r="C26" s="2"/>
      <c r="D26" s="2"/>
      <c r="E26" s="4" t="str">
        <f>Summary!B12</f>
        <v>LNG</v>
      </c>
      <c r="F26" s="329">
        <f>LNG!C39</f>
        <v>2285.627</v>
      </c>
      <c r="G26" s="329"/>
      <c r="H26" s="4" t="s">
        <v>17</v>
      </c>
      <c r="I26" s="2"/>
    </row>
    <row r="27" spans="1:9">
      <c r="A27" s="2" t="s">
        <v>157</v>
      </c>
      <c r="B27" s="2"/>
      <c r="C27" s="2"/>
      <c r="D27" s="2"/>
      <c r="E27" s="4" t="s">
        <v>213</v>
      </c>
      <c r="F27" s="329">
        <f>LNG!J47</f>
        <v>2317.25</v>
      </c>
      <c r="G27" s="329"/>
      <c r="H27" s="4" t="s">
        <v>17</v>
      </c>
      <c r="I27" s="2"/>
    </row>
    <row r="28" spans="1:9">
      <c r="A28" s="2" t="s">
        <v>72</v>
      </c>
      <c r="B28" s="2"/>
      <c r="C28" s="2"/>
      <c r="D28" s="2"/>
      <c r="E28" s="4" t="s">
        <v>213</v>
      </c>
      <c r="F28" s="329">
        <f>F26-F27</f>
        <v>-31.623000000000047</v>
      </c>
      <c r="G28" s="329"/>
      <c r="H28" s="4" t="s">
        <v>17</v>
      </c>
      <c r="I28" s="2"/>
    </row>
    <row r="29" spans="1:9">
      <c r="A29" s="2" t="s">
        <v>74</v>
      </c>
      <c r="B29" s="2"/>
      <c r="C29" s="2"/>
      <c r="D29" s="2"/>
      <c r="E29" s="4" t="str">
        <f>E26</f>
        <v>LNG</v>
      </c>
      <c r="F29" s="329">
        <f>IFERROR(F28/F27*100,0)</f>
        <v>-1.3646779587873576</v>
      </c>
      <c r="G29" s="329"/>
      <c r="H29" s="4" t="s">
        <v>46</v>
      </c>
      <c r="I29" s="2"/>
    </row>
    <row r="30" spans="1:9">
      <c r="A30" s="2"/>
      <c r="B30" s="2"/>
      <c r="C30" s="2"/>
      <c r="D30" s="2"/>
      <c r="E30" s="4"/>
      <c r="F30" s="150"/>
      <c r="G30" s="150"/>
      <c r="H30" s="4"/>
      <c r="I30" s="2"/>
    </row>
    <row r="31" spans="1:9">
      <c r="A31" s="2" t="s">
        <v>73</v>
      </c>
      <c r="B31" s="2"/>
      <c r="C31" s="2"/>
      <c r="D31" s="2"/>
      <c r="E31" s="4" t="s">
        <v>48</v>
      </c>
      <c r="F31" s="329">
        <f>Sludge!E24</f>
        <v>72.570000000000007</v>
      </c>
      <c r="G31" s="329"/>
      <c r="H31" s="4" t="s">
        <v>49</v>
      </c>
      <c r="I31" s="2"/>
    </row>
    <row r="32" spans="1:9">
      <c r="A32" s="2" t="s">
        <v>157</v>
      </c>
      <c r="B32" s="2"/>
      <c r="C32" s="2"/>
      <c r="D32" s="2"/>
      <c r="E32" s="4" t="s">
        <v>48</v>
      </c>
      <c r="F32" s="329">
        <f>Sludge!D30</f>
        <v>63.7</v>
      </c>
      <c r="G32" s="329"/>
      <c r="H32" s="4" t="s">
        <v>49</v>
      </c>
      <c r="I32" s="2"/>
    </row>
    <row r="33" spans="1:9">
      <c r="A33" s="2" t="s">
        <v>72</v>
      </c>
      <c r="B33" s="2"/>
      <c r="C33" s="2"/>
      <c r="D33" s="2"/>
      <c r="E33" s="4" t="s">
        <v>48</v>
      </c>
      <c r="F33" s="329">
        <f>F31-F32</f>
        <v>8.8700000000000045</v>
      </c>
      <c r="G33" s="330"/>
      <c r="H33" s="4" t="s">
        <v>49</v>
      </c>
      <c r="I33" s="2"/>
    </row>
    <row r="34" spans="1:9">
      <c r="A34" s="2" t="s">
        <v>74</v>
      </c>
      <c r="B34" s="2"/>
      <c r="C34" s="2"/>
      <c r="D34" s="2"/>
      <c r="E34" s="4" t="s">
        <v>48</v>
      </c>
      <c r="F34" s="329">
        <f>(F33/F32)*100</f>
        <v>13.924646781789646</v>
      </c>
      <c r="G34" s="329"/>
      <c r="H34" s="4" t="s">
        <v>46</v>
      </c>
      <c r="I34" s="2"/>
    </row>
    <row r="35" spans="1:9">
      <c r="A35" s="2" t="s">
        <v>105</v>
      </c>
      <c r="B35" s="2"/>
      <c r="C35" s="2"/>
      <c r="D35" s="2"/>
      <c r="E35" s="4" t="s">
        <v>48</v>
      </c>
      <c r="F35" s="328">
        <f>Sludge!D27</f>
        <v>46157</v>
      </c>
      <c r="G35" s="328"/>
      <c r="H35" s="297"/>
      <c r="I35" s="2"/>
    </row>
    <row r="36" spans="1:9">
      <c r="A36" s="2" t="s">
        <v>106</v>
      </c>
      <c r="B36" s="2"/>
      <c r="C36" s="2"/>
      <c r="D36" s="2"/>
      <c r="E36" s="4" t="s">
        <v>48</v>
      </c>
      <c r="F36" s="332">
        <f>Sludge!D28</f>
        <v>50</v>
      </c>
      <c r="G36" s="332"/>
      <c r="H36" s="90" t="s">
        <v>49</v>
      </c>
      <c r="I36" s="2"/>
    </row>
    <row r="37" spans="1:9">
      <c r="A37" s="2" t="s">
        <v>136</v>
      </c>
      <c r="B37" s="2"/>
      <c r="C37" s="2"/>
      <c r="D37" s="2"/>
      <c r="E37" s="4" t="s">
        <v>48</v>
      </c>
      <c r="F37" s="332">
        <f>Sludge!D29</f>
        <v>10</v>
      </c>
      <c r="G37" s="332"/>
      <c r="H37" s="90" t="s">
        <v>49</v>
      </c>
      <c r="I37" s="2"/>
    </row>
    <row r="38" spans="1:9">
      <c r="A38" s="2" t="s">
        <v>107</v>
      </c>
      <c r="B38" s="2"/>
      <c r="C38" s="2"/>
      <c r="D38" s="2"/>
      <c r="E38" s="4" t="s">
        <v>48</v>
      </c>
      <c r="F38" s="329">
        <f>Sludge!D31</f>
        <v>53.7</v>
      </c>
      <c r="G38" s="329"/>
      <c r="H38" s="4" t="s">
        <v>49</v>
      </c>
      <c r="I38" s="2"/>
    </row>
    <row r="39" spans="1:9">
      <c r="A39" s="2" t="s">
        <v>108</v>
      </c>
      <c r="B39" s="2"/>
      <c r="C39" s="2"/>
      <c r="D39" s="2"/>
      <c r="E39" s="4" t="s">
        <v>48</v>
      </c>
      <c r="F39" s="329">
        <f>'LOG Audit'!H16</f>
        <v>180</v>
      </c>
      <c r="G39" s="329"/>
      <c r="H39" s="4" t="s">
        <v>17</v>
      </c>
      <c r="I39" s="2"/>
    </row>
    <row r="40" spans="1:9">
      <c r="A40" s="2" t="s">
        <v>109</v>
      </c>
      <c r="B40" s="2"/>
      <c r="C40" s="2"/>
      <c r="D40" s="2"/>
      <c r="E40" s="4" t="s">
        <v>48</v>
      </c>
      <c r="F40" s="329">
        <f>IFERROR((F38/F39)*100,0)</f>
        <v>29.833333333333336</v>
      </c>
      <c r="G40" s="329"/>
      <c r="H40" s="4" t="s">
        <v>46</v>
      </c>
      <c r="I40" s="2"/>
    </row>
    <row r="41" spans="1:9">
      <c r="A41" s="2" t="s">
        <v>181</v>
      </c>
      <c r="B41" s="2"/>
      <c r="C41" s="2"/>
      <c r="D41" s="2"/>
      <c r="E41" s="4" t="s">
        <v>48</v>
      </c>
      <c r="F41" s="332">
        <f>Sludge!K24</f>
        <v>47.02000000000001</v>
      </c>
      <c r="G41" s="330"/>
      <c r="H41" s="4" t="s">
        <v>49</v>
      </c>
      <c r="I41" s="2"/>
    </row>
    <row r="42" spans="1:9">
      <c r="A42" s="2" t="s">
        <v>110</v>
      </c>
      <c r="B42" s="2"/>
      <c r="C42" s="2"/>
      <c r="D42" s="2"/>
      <c r="E42" s="4" t="s">
        <v>48</v>
      </c>
      <c r="F42" s="332">
        <f>Sludge!D34</f>
        <v>16.679999999999993</v>
      </c>
      <c r="G42" s="332"/>
      <c r="H42" s="4" t="s">
        <v>49</v>
      </c>
      <c r="I42" s="2"/>
    </row>
    <row r="43" spans="1:9">
      <c r="A43" s="2" t="s">
        <v>111</v>
      </c>
      <c r="B43" s="2"/>
      <c r="C43" s="2"/>
      <c r="D43" s="2"/>
      <c r="E43" s="4" t="s">
        <v>48</v>
      </c>
      <c r="F43" s="330" t="s">
        <v>84</v>
      </c>
      <c r="G43" s="330"/>
      <c r="H43" s="4" t="s">
        <v>46</v>
      </c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136"/>
      <c r="B53" s="136"/>
      <c r="C53" s="136"/>
      <c r="D53" s="136"/>
      <c r="E53" s="136"/>
      <c r="F53" s="136"/>
      <c r="G53" s="136"/>
      <c r="H53" s="136"/>
      <c r="I53" s="136"/>
    </row>
    <row r="54" spans="1:9">
      <c r="A54" s="331" t="s">
        <v>11</v>
      </c>
      <c r="B54" s="331"/>
      <c r="C54" s="331" t="str">
        <f>Summary!B38</f>
        <v>SIBI JESU ANTHONY</v>
      </c>
      <c r="D54" s="331"/>
      <c r="E54" s="136"/>
      <c r="F54" s="151" t="s">
        <v>101</v>
      </c>
      <c r="G54" s="331" t="str">
        <f>Summary!B15</f>
        <v>ARMANDO JUNIOR</v>
      </c>
      <c r="H54" s="331"/>
      <c r="I54" s="331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</sheetData>
  <mergeCells count="37">
    <mergeCell ref="G5:H5"/>
    <mergeCell ref="G6:H6"/>
    <mergeCell ref="A8:I8"/>
    <mergeCell ref="F21:G21"/>
    <mergeCell ref="F22:G22"/>
    <mergeCell ref="F11:G11"/>
    <mergeCell ref="F12:G12"/>
    <mergeCell ref="F13:G13"/>
    <mergeCell ref="F14:G14"/>
    <mergeCell ref="F18:G18"/>
    <mergeCell ref="F19:G19"/>
    <mergeCell ref="A10:D10"/>
    <mergeCell ref="F10:H10"/>
    <mergeCell ref="F16:G16"/>
    <mergeCell ref="F17:G17"/>
    <mergeCell ref="F23:G23"/>
    <mergeCell ref="F24:G24"/>
    <mergeCell ref="G54:I54"/>
    <mergeCell ref="A54:B54"/>
    <mergeCell ref="C54:D54"/>
    <mergeCell ref="F40:G40"/>
    <mergeCell ref="F43:G43"/>
    <mergeCell ref="F36:G36"/>
    <mergeCell ref="F37:G37"/>
    <mergeCell ref="F31:G31"/>
    <mergeCell ref="F26:G26"/>
    <mergeCell ref="F39:G39"/>
    <mergeCell ref="F41:G41"/>
    <mergeCell ref="F42:G42"/>
    <mergeCell ref="F32:G32"/>
    <mergeCell ref="F38:G38"/>
    <mergeCell ref="F35:G35"/>
    <mergeCell ref="F33:G33"/>
    <mergeCell ref="F34:G34"/>
    <mergeCell ref="F27:G27"/>
    <mergeCell ref="F28:G28"/>
    <mergeCell ref="F29:G29"/>
  </mergeCells>
  <pageMargins left="0.511811024" right="0.511811024" top="0.78740157499999996" bottom="0.78740157499999996" header="0.31496062000000002" footer="0.31496062000000002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5528-251F-4211-A1DF-F73F7FDE83C3}">
  <sheetPr codeName="Planilha4"/>
  <dimension ref="B1:X66"/>
  <sheetViews>
    <sheetView showGridLines="0" topLeftCell="A14" zoomScale="115" zoomScaleNormal="115" zoomScaleSheetLayoutView="100" workbookViewId="0">
      <selection activeCell="D32" sqref="D32:E32"/>
    </sheetView>
  </sheetViews>
  <sheetFormatPr defaultRowHeight="13.2"/>
  <cols>
    <col min="1" max="1" width="1" customWidth="1"/>
    <col min="2" max="2" width="18" customWidth="1"/>
    <col min="3" max="3" width="10.6640625" customWidth="1"/>
    <col min="4" max="4" width="7.88671875" customWidth="1"/>
    <col min="5" max="5" width="8.88671875" customWidth="1"/>
    <col min="6" max="7" width="3" customWidth="1"/>
    <col min="8" max="8" width="12.109375" customWidth="1"/>
    <col min="9" max="9" width="9.88671875" customWidth="1"/>
    <col min="10" max="10" width="7.6640625" customWidth="1"/>
    <col min="11" max="11" width="8.44140625" customWidth="1"/>
    <col min="12" max="12" width="2.88671875" customWidth="1"/>
    <col min="13" max="13" width="2.33203125" customWidth="1"/>
  </cols>
  <sheetData>
    <row r="1" spans="2:15" ht="50.25" customHeight="1"/>
    <row r="2" spans="2:15">
      <c r="H2" s="29"/>
      <c r="I2" s="29"/>
      <c r="J2" s="29"/>
      <c r="K2" s="29"/>
      <c r="L2" s="29"/>
      <c r="M2" s="9"/>
      <c r="N2" s="9"/>
      <c r="O2" s="9"/>
    </row>
    <row r="3" spans="2:15">
      <c r="B3" s="141" t="s">
        <v>78</v>
      </c>
      <c r="C3" s="136" t="str">
        <f>Summary!B7</f>
        <v>MSC SABRINA</v>
      </c>
      <c r="D3" s="136"/>
      <c r="E3" s="136"/>
      <c r="F3" s="136"/>
      <c r="G3" s="136"/>
      <c r="H3" s="142" t="s">
        <v>41</v>
      </c>
      <c r="I3" s="140">
        <f>Summary!B21</f>
        <v>9979022</v>
      </c>
      <c r="J3" s="143" t="s">
        <v>66</v>
      </c>
      <c r="K3" s="136" t="str">
        <f>Summary!B8</f>
        <v>MM623R</v>
      </c>
      <c r="L3" s="2"/>
      <c r="M3" s="9"/>
      <c r="N3" s="9"/>
      <c r="O3" s="9"/>
    </row>
    <row r="4" spans="2:15">
      <c r="B4" s="141" t="s">
        <v>33</v>
      </c>
      <c r="C4" s="136" t="str">
        <f>Summary!B13</f>
        <v>TERMINAL DE CONTAINER DE PARANAGUA</v>
      </c>
      <c r="D4" s="136"/>
      <c r="E4" s="136"/>
      <c r="F4" s="136"/>
      <c r="G4" s="136"/>
      <c r="H4" s="142" t="s">
        <v>170</v>
      </c>
      <c r="I4" s="213">
        <f>'Time Log'!F7</f>
        <v>46188</v>
      </c>
      <c r="J4" s="215">
        <f>'Time Log'!G7</f>
        <v>0.5</v>
      </c>
      <c r="K4" s="136" t="s">
        <v>316</v>
      </c>
      <c r="L4" s="136"/>
      <c r="M4" s="9"/>
      <c r="N4" s="9"/>
      <c r="O4" s="9"/>
    </row>
    <row r="5" spans="2:15">
      <c r="B5" s="141" t="s">
        <v>34</v>
      </c>
      <c r="C5" s="136" t="str">
        <f>Summary!B14</f>
        <v>PARANAGUA</v>
      </c>
      <c r="D5" s="136"/>
      <c r="E5" s="145"/>
      <c r="F5" s="145"/>
      <c r="G5" s="145"/>
      <c r="H5" s="142" t="s">
        <v>171</v>
      </c>
      <c r="I5" s="217">
        <f>'Time Log'!F14</f>
        <v>46189</v>
      </c>
      <c r="J5" s="216">
        <f>'Time Log'!I14</f>
        <v>4.1666666666666664E-2</v>
      </c>
      <c r="K5" s="136" t="s">
        <v>316</v>
      </c>
      <c r="L5" s="2"/>
      <c r="M5" s="9"/>
      <c r="N5" s="9"/>
      <c r="O5" s="9"/>
    </row>
    <row r="6" spans="2:15"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9"/>
      <c r="N6" s="9"/>
      <c r="O6" s="9"/>
    </row>
    <row r="7" spans="2:15" ht="15">
      <c r="B7" s="334" t="s">
        <v>99</v>
      </c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26"/>
    </row>
    <row r="8" spans="2:15" ht="15"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26"/>
    </row>
    <row r="9" spans="2:15">
      <c r="B9" s="340" t="s">
        <v>79</v>
      </c>
      <c r="C9" s="340"/>
      <c r="D9" s="340"/>
      <c r="E9" s="340"/>
      <c r="F9" s="340"/>
      <c r="G9" s="340"/>
      <c r="H9" s="340"/>
      <c r="I9" s="340"/>
      <c r="J9" s="340"/>
      <c r="K9" s="2"/>
      <c r="L9" s="2"/>
    </row>
    <row r="10" spans="2:15">
      <c r="B10" s="354" t="s">
        <v>100</v>
      </c>
      <c r="C10" s="360" t="s">
        <v>103</v>
      </c>
      <c r="D10" s="361"/>
      <c r="E10" s="361"/>
      <c r="F10" s="361"/>
      <c r="G10" s="362"/>
      <c r="H10" s="360" t="s">
        <v>104</v>
      </c>
      <c r="I10" s="361"/>
      <c r="J10" s="362"/>
      <c r="K10" s="2"/>
      <c r="L10" s="2"/>
    </row>
    <row r="11" spans="2:15" ht="14.25" customHeight="1">
      <c r="B11" s="357"/>
      <c r="C11" s="354" t="s">
        <v>5</v>
      </c>
      <c r="D11" s="354"/>
      <c r="E11" s="367" t="s">
        <v>285</v>
      </c>
      <c r="F11" s="368"/>
      <c r="G11" s="369"/>
      <c r="H11" s="170" t="s">
        <v>5</v>
      </c>
      <c r="I11" s="354" t="s">
        <v>285</v>
      </c>
      <c r="J11" s="354"/>
      <c r="K11" s="2"/>
      <c r="L11" s="2"/>
    </row>
    <row r="12" spans="2:15">
      <c r="B12" s="83" t="s">
        <v>121</v>
      </c>
      <c r="C12" s="355">
        <v>1.1499999999999999</v>
      </c>
      <c r="D12" s="355"/>
      <c r="E12" s="345">
        <v>54.25</v>
      </c>
      <c r="F12" s="347"/>
      <c r="G12" s="346"/>
      <c r="H12" s="84">
        <v>1.1499999999999999</v>
      </c>
      <c r="I12" s="355">
        <v>54.25</v>
      </c>
      <c r="J12" s="355"/>
      <c r="K12" s="71">
        <f>E12+E13</f>
        <v>54.25</v>
      </c>
      <c r="L12" s="71">
        <f>K12-K13</f>
        <v>0</v>
      </c>
    </row>
    <row r="13" spans="2:15">
      <c r="B13" s="83"/>
      <c r="C13" s="355"/>
      <c r="D13" s="355"/>
      <c r="E13" s="345"/>
      <c r="F13" s="347"/>
      <c r="G13" s="346"/>
      <c r="H13" s="84"/>
      <c r="I13" s="355"/>
      <c r="J13" s="355"/>
      <c r="K13" s="71">
        <f>I12+I13</f>
        <v>54.25</v>
      </c>
      <c r="L13" s="45"/>
    </row>
    <row r="14" spans="2:15">
      <c r="B14" s="104"/>
      <c r="C14" s="33"/>
      <c r="D14" s="33"/>
      <c r="E14" s="105"/>
      <c r="F14" s="105"/>
      <c r="G14" s="105"/>
      <c r="H14" s="105"/>
      <c r="I14" s="105"/>
      <c r="J14" s="105"/>
      <c r="K14" s="104"/>
      <c r="L14" s="104"/>
    </row>
    <row r="15" spans="2:15">
      <c r="B15" s="340" t="s">
        <v>81</v>
      </c>
      <c r="C15" s="340"/>
      <c r="D15" s="340"/>
      <c r="E15" s="340"/>
      <c r="F15" s="340"/>
      <c r="G15" s="340"/>
      <c r="H15" s="340"/>
      <c r="I15" s="340"/>
      <c r="J15" s="340"/>
      <c r="K15" s="104"/>
      <c r="L15" s="104"/>
    </row>
    <row r="16" spans="2:15">
      <c r="B16" s="356" t="s">
        <v>100</v>
      </c>
      <c r="C16" s="360" t="s">
        <v>103</v>
      </c>
      <c r="D16" s="361"/>
      <c r="E16" s="361"/>
      <c r="F16" s="361"/>
      <c r="G16" s="362"/>
      <c r="H16" s="340" t="s">
        <v>104</v>
      </c>
      <c r="I16" s="340"/>
      <c r="J16" s="340"/>
      <c r="K16" s="104"/>
      <c r="L16" s="104"/>
    </row>
    <row r="17" spans="2:13" ht="12.75" customHeight="1">
      <c r="B17" s="356"/>
      <c r="C17" s="356" t="s">
        <v>5</v>
      </c>
      <c r="D17" s="356"/>
      <c r="E17" s="367" t="s">
        <v>285</v>
      </c>
      <c r="F17" s="368"/>
      <c r="G17" s="369"/>
      <c r="H17" s="171" t="s">
        <v>5</v>
      </c>
      <c r="I17" s="356" t="s">
        <v>285</v>
      </c>
      <c r="J17" s="356"/>
      <c r="K17" s="104"/>
      <c r="L17" s="104"/>
    </row>
    <row r="18" spans="2:13">
      <c r="B18" s="137" t="s">
        <v>224</v>
      </c>
      <c r="C18" s="359">
        <v>1.93</v>
      </c>
      <c r="D18" s="359"/>
      <c r="E18" s="345">
        <v>46.7</v>
      </c>
      <c r="F18" s="347"/>
      <c r="G18" s="346"/>
      <c r="H18" s="85">
        <v>1.0900000000000001</v>
      </c>
      <c r="I18" s="359">
        <v>18.184999999999999</v>
      </c>
      <c r="J18" s="359"/>
      <c r="K18" s="104"/>
      <c r="L18" s="104"/>
    </row>
    <row r="19" spans="2:13">
      <c r="B19" s="83" t="s">
        <v>244</v>
      </c>
      <c r="C19" s="345">
        <v>0.84</v>
      </c>
      <c r="D19" s="346"/>
      <c r="E19" s="345">
        <v>15.12</v>
      </c>
      <c r="F19" s="347"/>
      <c r="G19" s="346"/>
      <c r="H19" s="85">
        <v>0.19</v>
      </c>
      <c r="I19" s="345">
        <v>2.5649999999999999</v>
      </c>
      <c r="J19" s="346"/>
      <c r="K19" s="104"/>
      <c r="L19" s="104"/>
    </row>
    <row r="20" spans="2:13">
      <c r="B20" s="83" t="s">
        <v>245</v>
      </c>
      <c r="C20" s="345">
        <v>0.61</v>
      </c>
      <c r="D20" s="346"/>
      <c r="E20" s="345">
        <v>8.3000000000000007</v>
      </c>
      <c r="F20" s="347"/>
      <c r="G20" s="346"/>
      <c r="H20" s="85">
        <v>0.17</v>
      </c>
      <c r="I20" s="345">
        <v>2.35</v>
      </c>
      <c r="J20" s="346"/>
      <c r="K20" s="104"/>
      <c r="L20" s="104"/>
    </row>
    <row r="21" spans="2:13">
      <c r="B21" s="83" t="s">
        <v>226</v>
      </c>
      <c r="C21" s="345">
        <v>0.14000000000000001</v>
      </c>
      <c r="D21" s="346"/>
      <c r="E21" s="345">
        <v>2.0099999999999998</v>
      </c>
      <c r="F21" s="347"/>
      <c r="G21" s="346"/>
      <c r="H21" s="85">
        <v>0.14000000000000001</v>
      </c>
      <c r="I21" s="345">
        <v>2.0099999999999998</v>
      </c>
      <c r="J21" s="346"/>
      <c r="K21" s="104"/>
      <c r="L21" s="104"/>
    </row>
    <row r="22" spans="2:13">
      <c r="B22" s="83" t="s">
        <v>225</v>
      </c>
      <c r="C22" s="345">
        <v>0</v>
      </c>
      <c r="D22" s="346"/>
      <c r="E22" s="345">
        <v>0.44</v>
      </c>
      <c r="F22" s="347"/>
      <c r="G22" s="346"/>
      <c r="H22" s="84">
        <v>0</v>
      </c>
      <c r="I22" s="345">
        <v>0.44</v>
      </c>
      <c r="J22" s="346"/>
      <c r="K22" s="104"/>
      <c r="L22" s="104"/>
    </row>
    <row r="23" spans="2:13">
      <c r="B23" s="83" t="s">
        <v>246</v>
      </c>
      <c r="C23" s="345" t="s">
        <v>227</v>
      </c>
      <c r="D23" s="346"/>
      <c r="E23" s="345">
        <v>0</v>
      </c>
      <c r="F23" s="347"/>
      <c r="G23" s="346"/>
      <c r="H23" s="84" t="s">
        <v>227</v>
      </c>
      <c r="I23" s="345">
        <v>0</v>
      </c>
      <c r="J23" s="346"/>
      <c r="K23" s="338" t="s">
        <v>135</v>
      </c>
      <c r="L23" s="339"/>
    </row>
    <row r="24" spans="2:13">
      <c r="B24" s="358" t="s">
        <v>50</v>
      </c>
      <c r="C24" s="358"/>
      <c r="D24" s="358"/>
      <c r="E24" s="345">
        <f>SUM(E18:E23)</f>
        <v>72.570000000000007</v>
      </c>
      <c r="F24" s="347"/>
      <c r="G24" s="346"/>
      <c r="H24" s="84" t="s">
        <v>50</v>
      </c>
      <c r="I24" s="355">
        <f>SUM(I18:J23)</f>
        <v>25.55</v>
      </c>
      <c r="J24" s="355"/>
      <c r="K24" s="165">
        <f>E24-I24</f>
        <v>47.02000000000001</v>
      </c>
      <c r="L24" s="167" t="s">
        <v>131</v>
      </c>
      <c r="M24" s="164"/>
    </row>
    <row r="25" spans="2:13">
      <c r="B25" s="35"/>
      <c r="C25" s="35"/>
      <c r="D25" s="35"/>
      <c r="E25" s="108"/>
      <c r="F25" s="108"/>
      <c r="G25" s="108"/>
      <c r="H25" s="35"/>
      <c r="I25" s="105"/>
      <c r="J25" s="105"/>
      <c r="K25" s="166"/>
      <c r="L25" s="104"/>
    </row>
    <row r="26" spans="2:13">
      <c r="B26" s="340" t="s">
        <v>92</v>
      </c>
      <c r="C26" s="340"/>
      <c r="D26" s="340"/>
      <c r="E26" s="340"/>
      <c r="F26" s="340"/>
      <c r="G26" s="105"/>
      <c r="H26" s="104"/>
      <c r="I26" s="104"/>
      <c r="J26" s="104"/>
      <c r="K26" s="104"/>
      <c r="L26" s="104"/>
    </row>
    <row r="27" spans="2:13">
      <c r="B27" s="348" t="s">
        <v>159</v>
      </c>
      <c r="C27" s="348"/>
      <c r="D27" s="349">
        <v>46157</v>
      </c>
      <c r="E27" s="350"/>
      <c r="F27" s="351"/>
      <c r="G27" s="105"/>
      <c r="H27" s="104"/>
      <c r="I27" s="104"/>
      <c r="J27" s="104"/>
      <c r="K27" s="104"/>
      <c r="L27" s="104"/>
    </row>
    <row r="28" spans="2:13" ht="14.4">
      <c r="B28" s="156" t="s">
        <v>80</v>
      </c>
      <c r="C28" s="155"/>
      <c r="D28" s="341">
        <v>50</v>
      </c>
      <c r="E28" s="342"/>
      <c r="F28" s="91" t="s">
        <v>131</v>
      </c>
      <c r="G28" s="108"/>
      <c r="H28" s="294" t="s">
        <v>123</v>
      </c>
      <c r="I28" s="295"/>
      <c r="J28" s="295"/>
      <c r="K28" s="51"/>
      <c r="L28" s="104"/>
    </row>
    <row r="29" spans="2:13" ht="13.8">
      <c r="B29" s="152" t="s">
        <v>82</v>
      </c>
      <c r="C29" s="152"/>
      <c r="D29" s="341">
        <v>10</v>
      </c>
      <c r="E29" s="342"/>
      <c r="F29" s="91" t="s">
        <v>131</v>
      </c>
      <c r="G29" s="108"/>
      <c r="H29" s="352" t="s">
        <v>337</v>
      </c>
      <c r="I29" s="352"/>
      <c r="J29" s="2"/>
      <c r="K29" s="293">
        <v>98</v>
      </c>
      <c r="L29" s="72"/>
    </row>
    <row r="30" spans="2:13">
      <c r="B30" s="348" t="s">
        <v>158</v>
      </c>
      <c r="C30" s="348"/>
      <c r="D30" s="341">
        <v>63.7</v>
      </c>
      <c r="E30" s="342"/>
      <c r="F30" s="91" t="s">
        <v>131</v>
      </c>
      <c r="G30" s="108"/>
      <c r="H30" s="305" t="s">
        <v>338</v>
      </c>
      <c r="I30" s="295"/>
      <c r="J30" s="295"/>
      <c r="K30" s="293" t="s">
        <v>253</v>
      </c>
      <c r="L30" s="104"/>
    </row>
    <row r="31" spans="2:13">
      <c r="B31" s="348" t="s">
        <v>69</v>
      </c>
      <c r="C31" s="348"/>
      <c r="D31" s="341">
        <f>D30-D29</f>
        <v>53.7</v>
      </c>
      <c r="E31" s="342"/>
      <c r="F31" s="157" t="s">
        <v>131</v>
      </c>
      <c r="G31" s="138"/>
      <c r="H31" s="296" t="s">
        <v>340</v>
      </c>
      <c r="I31" s="295"/>
      <c r="J31" s="295"/>
      <c r="K31" s="293">
        <v>60</v>
      </c>
      <c r="L31" s="104"/>
    </row>
    <row r="32" spans="2:13">
      <c r="B32" s="353" t="s">
        <v>87</v>
      </c>
      <c r="C32" s="353"/>
      <c r="D32" s="365">
        <f>'LOG Audit'!H16</f>
        <v>180</v>
      </c>
      <c r="E32" s="366"/>
      <c r="F32" s="158" t="s">
        <v>89</v>
      </c>
      <c r="G32" s="107"/>
      <c r="H32" s="2"/>
      <c r="I32" s="2"/>
      <c r="J32" s="104"/>
      <c r="K32" s="104"/>
      <c r="L32" s="104"/>
      <c r="M32" s="39"/>
    </row>
    <row r="33" spans="2:24" ht="13.8">
      <c r="B33" s="353" t="s">
        <v>90</v>
      </c>
      <c r="C33" s="353"/>
      <c r="D33" s="365">
        <f>IFERROR((D31/D32)*100,0)</f>
        <v>29.833333333333336</v>
      </c>
      <c r="E33" s="366"/>
      <c r="F33" s="158" t="s">
        <v>46</v>
      </c>
      <c r="G33" s="107"/>
      <c r="L33" s="51"/>
      <c r="M33" s="65"/>
    </row>
    <row r="34" spans="2:24" ht="13.8">
      <c r="B34" s="353" t="s">
        <v>132</v>
      </c>
      <c r="C34" s="353"/>
      <c r="D34" s="341">
        <f>D30-K24</f>
        <v>16.679999999999993</v>
      </c>
      <c r="E34" s="342"/>
      <c r="F34" s="91" t="s">
        <v>131</v>
      </c>
      <c r="G34" s="2"/>
      <c r="L34" s="51"/>
      <c r="M34" s="2"/>
    </row>
    <row r="35" spans="2:24">
      <c r="B35" s="2"/>
      <c r="C35" s="2"/>
      <c r="D35" s="2"/>
      <c r="E35" s="2"/>
      <c r="F35" s="2"/>
      <c r="G35" s="4"/>
      <c r="L35" s="64"/>
      <c r="M35" s="2"/>
    </row>
    <row r="36" spans="2:24">
      <c r="B36" s="340" t="s">
        <v>94</v>
      </c>
      <c r="C36" s="340"/>
      <c r="D36" s="340"/>
      <c r="E36" s="340"/>
      <c r="F36" s="340"/>
      <c r="G36" s="109"/>
      <c r="M36" s="2"/>
    </row>
    <row r="37" spans="2:24">
      <c r="B37" s="153" t="s">
        <v>93</v>
      </c>
      <c r="C37" s="153"/>
      <c r="D37" s="365">
        <f>E24</f>
        <v>72.570000000000007</v>
      </c>
      <c r="E37" s="366"/>
      <c r="F37" s="159" t="s">
        <v>131</v>
      </c>
      <c r="G37" s="107"/>
      <c r="H37" s="104"/>
      <c r="I37" s="104"/>
      <c r="J37" s="104"/>
      <c r="K37" s="105"/>
      <c r="L37" s="105"/>
      <c r="M37" s="2"/>
    </row>
    <row r="38" spans="2:24">
      <c r="B38" s="353" t="s">
        <v>69</v>
      </c>
      <c r="C38" s="353"/>
      <c r="D38" s="365">
        <f>D37-D29</f>
        <v>62.570000000000007</v>
      </c>
      <c r="E38" s="366"/>
      <c r="F38" s="158" t="s">
        <v>131</v>
      </c>
      <c r="G38" s="107"/>
      <c r="H38" s="104"/>
      <c r="I38" s="104"/>
      <c r="J38" s="104"/>
      <c r="K38" s="105"/>
      <c r="L38" s="105"/>
      <c r="M38" s="2"/>
    </row>
    <row r="39" spans="2:24">
      <c r="B39" s="168" t="s">
        <v>87</v>
      </c>
      <c r="C39" s="169"/>
      <c r="D39" s="365">
        <f>('LOG Audit'!C16+'LOG Audit'!D16)-'Vessel Ullage'!L51</f>
        <v>-189.96449999999993</v>
      </c>
      <c r="E39" s="366"/>
      <c r="F39" s="158" t="s">
        <v>89</v>
      </c>
      <c r="G39" s="107"/>
      <c r="H39" s="104"/>
      <c r="I39" s="104"/>
      <c r="J39" s="104"/>
      <c r="K39" s="104"/>
      <c r="L39" s="104"/>
      <c r="M39" s="2"/>
    </row>
    <row r="40" spans="2:24">
      <c r="B40" s="153" t="s">
        <v>271</v>
      </c>
      <c r="C40" s="153"/>
      <c r="D40" s="343">
        <f>D39-'LOG Audit'!E37</f>
        <v>-3115.3599715999999</v>
      </c>
      <c r="E40" s="344"/>
      <c r="F40" s="158" t="s">
        <v>89</v>
      </c>
      <c r="G40" s="309">
        <f>(D40/'LOG Audit'!E37)*100</f>
        <v>-106.49363485532785</v>
      </c>
      <c r="H40" s="104"/>
      <c r="I40" s="104"/>
      <c r="J40" s="104"/>
      <c r="K40" s="104"/>
      <c r="L40" s="104"/>
      <c r="M40" s="2"/>
    </row>
    <row r="41" spans="2:24" ht="12.75" customHeight="1">
      <c r="B41" s="153" t="s">
        <v>90</v>
      </c>
      <c r="C41" s="153"/>
      <c r="D41" s="365">
        <f>IFERROR((D38/D39)*100,0)</f>
        <v>-32.937733102763957</v>
      </c>
      <c r="E41" s="366"/>
      <c r="F41" s="158" t="s">
        <v>46</v>
      </c>
      <c r="G41" s="108"/>
      <c r="H41" s="2"/>
      <c r="I41" s="2"/>
      <c r="J41" s="2"/>
      <c r="K41" s="2"/>
      <c r="L41" s="2"/>
      <c r="M41" s="2"/>
    </row>
    <row r="42" spans="2:24">
      <c r="B42" s="353" t="s">
        <v>91</v>
      </c>
      <c r="C42" s="353"/>
      <c r="D42" s="341">
        <f>D37-K24</f>
        <v>25.549999999999997</v>
      </c>
      <c r="E42" s="342"/>
      <c r="F42" s="91" t="s">
        <v>131</v>
      </c>
      <c r="G42" s="2"/>
      <c r="H42" s="2"/>
      <c r="I42" s="2"/>
      <c r="J42" s="2"/>
      <c r="K42" s="2"/>
      <c r="L42" s="2"/>
      <c r="M42" s="2"/>
      <c r="N42" s="20"/>
    </row>
    <row r="43" spans="2:24" ht="12.7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/>
    </row>
    <row r="44" spans="2:24" ht="12.75" customHeight="1">
      <c r="B44" s="340" t="s">
        <v>272</v>
      </c>
      <c r="C44" s="340"/>
      <c r="D44" s="340"/>
      <c r="E44" s="340"/>
      <c r="F44" s="382" t="s">
        <v>131</v>
      </c>
      <c r="G44" s="382"/>
      <c r="H44" s="382"/>
      <c r="I44" s="2"/>
      <c r="J44" s="2"/>
      <c r="K44" s="2"/>
      <c r="L44" s="2"/>
      <c r="M44" s="2"/>
    </row>
    <row r="45" spans="2:24">
      <c r="B45" s="160" t="s">
        <v>150</v>
      </c>
      <c r="C45" s="110" t="s">
        <v>160</v>
      </c>
      <c r="D45" s="111">
        <v>0.98124999999999996</v>
      </c>
      <c r="E45" s="383">
        <f>D46-D45</f>
        <v>4.1666666666666741E-2</v>
      </c>
      <c r="F45" s="379">
        <v>15</v>
      </c>
      <c r="G45" s="379"/>
      <c r="H45" s="379"/>
      <c r="I45" s="104"/>
      <c r="J45" s="2"/>
      <c r="K45" s="2"/>
      <c r="L45" s="2"/>
      <c r="M45" s="2"/>
    </row>
    <row r="46" spans="2:24">
      <c r="B46" s="161" t="s">
        <v>247</v>
      </c>
      <c r="C46" s="110" t="s">
        <v>95</v>
      </c>
      <c r="D46" s="111">
        <v>1.0229166666666667</v>
      </c>
      <c r="E46" s="384"/>
      <c r="F46" s="379"/>
      <c r="G46" s="379"/>
      <c r="H46" s="379"/>
      <c r="I46" s="104"/>
      <c r="J46" s="2"/>
      <c r="K46" s="2"/>
      <c r="L46" s="2"/>
      <c r="M46" s="2"/>
      <c r="S46" s="377"/>
      <c r="T46" s="377"/>
      <c r="U46" s="377"/>
      <c r="V46" s="377"/>
      <c r="W46" s="371"/>
      <c r="X46" s="371"/>
    </row>
    <row r="47" spans="2:24">
      <c r="B47" s="160" t="s">
        <v>284</v>
      </c>
      <c r="C47" s="110" t="s">
        <v>160</v>
      </c>
      <c r="D47" s="111">
        <v>0.41666666666666669</v>
      </c>
      <c r="E47" s="383">
        <f>D48-D47</f>
        <v>4.166666666666663E-2</v>
      </c>
      <c r="F47" s="379">
        <v>15</v>
      </c>
      <c r="G47" s="379"/>
      <c r="H47" s="379"/>
      <c r="I47" s="104"/>
      <c r="J47" s="2"/>
      <c r="K47" s="2"/>
      <c r="L47" s="2"/>
      <c r="M47" s="2"/>
      <c r="S47" s="112"/>
      <c r="T47" s="25"/>
      <c r="U47" s="66"/>
      <c r="V47" s="378"/>
      <c r="W47" s="372"/>
      <c r="X47" s="372"/>
    </row>
    <row r="48" spans="2:24">
      <c r="B48" s="161"/>
      <c r="C48" s="110" t="s">
        <v>95</v>
      </c>
      <c r="D48" s="111">
        <v>0.45833333333333331</v>
      </c>
      <c r="E48" s="384"/>
      <c r="F48" s="379"/>
      <c r="G48" s="379"/>
      <c r="H48" s="379"/>
      <c r="I48" s="104"/>
      <c r="J48" s="2"/>
      <c r="K48" s="2"/>
      <c r="L48" s="2"/>
      <c r="M48" s="2"/>
      <c r="S48" s="112"/>
      <c r="T48" s="25"/>
      <c r="U48" s="66"/>
      <c r="V48" s="378"/>
      <c r="W48" s="372"/>
      <c r="X48" s="372"/>
    </row>
    <row r="49" spans="2:24">
      <c r="B49" s="163" t="s">
        <v>283</v>
      </c>
      <c r="C49" s="110" t="s">
        <v>160</v>
      </c>
      <c r="D49" s="111">
        <v>0.54166666666666663</v>
      </c>
      <c r="E49" s="373">
        <f>D50-D49</f>
        <v>4.1666666666666741E-2</v>
      </c>
      <c r="F49" s="379">
        <v>17</v>
      </c>
      <c r="G49" s="379"/>
      <c r="H49" s="379"/>
      <c r="I49" s="2"/>
      <c r="J49" s="2"/>
      <c r="K49" s="2"/>
      <c r="L49" s="2"/>
      <c r="M49" s="2"/>
      <c r="S49" s="112"/>
      <c r="T49" s="25"/>
      <c r="U49" s="113"/>
      <c r="V49" s="376"/>
      <c r="W49" s="375"/>
      <c r="X49" s="375"/>
    </row>
    <row r="50" spans="2:24">
      <c r="B50" s="162"/>
      <c r="C50" s="110" t="s">
        <v>95</v>
      </c>
      <c r="D50" s="111">
        <v>0.58333333333333337</v>
      </c>
      <c r="E50" s="374"/>
      <c r="F50" s="379"/>
      <c r="G50" s="379"/>
      <c r="H50" s="379"/>
      <c r="I50" s="2"/>
      <c r="J50" s="2"/>
      <c r="K50" s="2"/>
      <c r="L50" s="2"/>
      <c r="M50" s="2"/>
      <c r="S50" s="112"/>
      <c r="T50" s="25"/>
      <c r="U50" s="113"/>
      <c r="V50" s="376"/>
      <c r="W50" s="375"/>
      <c r="X50" s="375"/>
    </row>
    <row r="51" spans="2:24">
      <c r="B51" s="353" t="s">
        <v>96</v>
      </c>
      <c r="C51" s="353"/>
      <c r="D51" s="353"/>
      <c r="E51" s="111">
        <f>E45+E47+E49</f>
        <v>0.12500000000000011</v>
      </c>
      <c r="F51" s="380">
        <f>F45+F47+F49</f>
        <v>47</v>
      </c>
      <c r="G51" s="381"/>
      <c r="H51" s="381"/>
      <c r="I51" s="2"/>
      <c r="J51" s="2"/>
      <c r="K51" s="2"/>
      <c r="L51" s="2"/>
      <c r="M51" s="2"/>
      <c r="S51" s="20"/>
      <c r="T51" s="20"/>
      <c r="U51" s="20"/>
      <c r="V51" s="66"/>
      <c r="W51" s="370"/>
      <c r="X51" s="370"/>
    </row>
    <row r="52" spans="2:24">
      <c r="B52" s="353" t="s">
        <v>97</v>
      </c>
      <c r="C52" s="353"/>
      <c r="D52" s="353"/>
      <c r="E52" s="154">
        <f>IFERROR(((F51)/(HOUR(E45)*60+MINUTE(E45)+HOUR(E47)*60+MINUTE(E47)+HOUR(E49)*60+MINUTE(E49))*60),0)</f>
        <v>15.666666666666668</v>
      </c>
      <c r="F52" s="2"/>
      <c r="G52" s="2"/>
      <c r="H52" s="2"/>
      <c r="I52" s="2"/>
      <c r="J52" s="2"/>
      <c r="K52" s="2"/>
      <c r="L52" s="2"/>
      <c r="M52" s="2"/>
      <c r="S52" s="20"/>
      <c r="T52" s="20"/>
      <c r="U52" s="20"/>
      <c r="V52" s="38"/>
    </row>
    <row r="53" spans="2:2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24" ht="13.8">
      <c r="B54" s="136"/>
      <c r="C54" s="136"/>
      <c r="D54" s="136"/>
      <c r="E54" s="136"/>
      <c r="F54" s="136"/>
      <c r="G54" s="136"/>
      <c r="H54" s="2"/>
      <c r="I54" s="2"/>
      <c r="J54" s="2"/>
      <c r="K54" s="2"/>
      <c r="L54" s="2"/>
      <c r="M54" s="6"/>
    </row>
    <row r="55" spans="2:24" ht="13.8">
      <c r="B55" s="136"/>
      <c r="C55" s="136"/>
      <c r="D55" s="136"/>
      <c r="E55" s="136"/>
      <c r="F55" s="136"/>
      <c r="G55" s="136"/>
      <c r="H55" s="2"/>
      <c r="I55" s="2"/>
      <c r="J55" s="2"/>
      <c r="K55" s="2"/>
      <c r="L55" s="2"/>
      <c r="M55" s="6"/>
    </row>
    <row r="56" spans="2:24" ht="13.8">
      <c r="B56" s="136"/>
      <c r="C56" s="136"/>
      <c r="D56" s="136"/>
      <c r="E56" s="136"/>
      <c r="F56" s="136"/>
      <c r="G56" s="136"/>
      <c r="H56" s="2"/>
      <c r="I56" s="2"/>
      <c r="J56" s="106"/>
      <c r="K56" s="2"/>
      <c r="L56" s="2"/>
      <c r="M56" s="6"/>
    </row>
    <row r="57" spans="2:24" ht="13.8">
      <c r="B57" s="136"/>
      <c r="C57" s="136"/>
      <c r="D57" s="136"/>
      <c r="E57" s="136"/>
      <c r="F57" s="136"/>
      <c r="G57" s="136"/>
      <c r="H57" s="2"/>
      <c r="I57" s="2"/>
      <c r="J57" s="2"/>
      <c r="K57" s="2"/>
      <c r="L57" s="2"/>
      <c r="M57" s="6"/>
    </row>
    <row r="58" spans="2:24" ht="13.8">
      <c r="B58" s="136"/>
      <c r="C58" s="136"/>
      <c r="D58" s="136"/>
      <c r="E58" s="136"/>
      <c r="F58" s="136"/>
      <c r="G58" s="136"/>
      <c r="H58" s="2"/>
      <c r="I58" s="2"/>
      <c r="J58" s="2"/>
      <c r="K58" s="2"/>
      <c r="L58" s="2"/>
      <c r="M58" s="6"/>
    </row>
    <row r="59" spans="2:24" ht="13.8">
      <c r="B59" s="136"/>
      <c r="C59" s="136"/>
      <c r="D59" s="136"/>
      <c r="E59" s="136"/>
      <c r="F59" s="136"/>
      <c r="G59" s="136"/>
      <c r="H59" s="2"/>
      <c r="I59" s="2"/>
      <c r="J59" s="2"/>
      <c r="K59" s="2"/>
      <c r="L59" s="2"/>
      <c r="M59" s="6"/>
    </row>
    <row r="60" spans="2:24" ht="13.8">
      <c r="B60" s="136"/>
      <c r="C60" s="136"/>
      <c r="D60" s="136"/>
      <c r="E60" s="136"/>
      <c r="F60" s="136"/>
      <c r="G60" s="136"/>
      <c r="H60" s="2"/>
      <c r="I60" s="2"/>
      <c r="J60" s="2"/>
      <c r="K60" s="2"/>
      <c r="L60" s="2"/>
      <c r="M60" s="6"/>
    </row>
    <row r="61" spans="2:24" ht="13.8">
      <c r="B61" s="136"/>
      <c r="C61" s="136"/>
      <c r="D61" s="136"/>
      <c r="E61" s="136"/>
      <c r="F61" s="136"/>
      <c r="G61" s="136"/>
      <c r="H61" s="2"/>
      <c r="I61" s="2"/>
      <c r="J61" s="2"/>
      <c r="K61" s="2"/>
      <c r="L61" s="2"/>
      <c r="M61" s="6"/>
    </row>
    <row r="62" spans="2:2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24"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</row>
    <row r="64" spans="2:24">
      <c r="B64" s="139" t="s">
        <v>11</v>
      </c>
      <c r="C64" s="364" t="str">
        <f>Summary!B38</f>
        <v>SIBI JESU ANTHONY</v>
      </c>
      <c r="D64" s="364"/>
      <c r="E64" s="364"/>
      <c r="F64" s="140"/>
      <c r="G64" s="140"/>
      <c r="H64" s="136"/>
      <c r="I64" s="151" t="s">
        <v>101</v>
      </c>
      <c r="J64" s="363" t="str">
        <f>Summary!B15</f>
        <v>ARMANDO JUNIOR</v>
      </c>
      <c r="K64" s="363"/>
      <c r="L64" s="363"/>
    </row>
    <row r="65" spans="2:12">
      <c r="B65" s="2"/>
      <c r="C65" s="2"/>
      <c r="D65" s="2"/>
      <c r="E65" s="2"/>
      <c r="F65" s="2"/>
      <c r="G65" s="2"/>
      <c r="H65" s="136"/>
      <c r="I65" s="136"/>
      <c r="J65" s="136"/>
      <c r="K65" s="2"/>
      <c r="L65" s="2"/>
    </row>
    <row r="66" spans="2:12" ht="13.8">
      <c r="F66" s="2"/>
      <c r="G66" s="2"/>
      <c r="H66" s="6"/>
      <c r="I66" s="6"/>
      <c r="J66" s="6"/>
      <c r="K66" s="2"/>
      <c r="L66" s="2"/>
    </row>
  </sheetData>
  <mergeCells count="88">
    <mergeCell ref="B52:D52"/>
    <mergeCell ref="B44:E44"/>
    <mergeCell ref="F49:H50"/>
    <mergeCell ref="F51:H51"/>
    <mergeCell ref="F44:H44"/>
    <mergeCell ref="F45:H46"/>
    <mergeCell ref="F47:H48"/>
    <mergeCell ref="E45:E46"/>
    <mergeCell ref="B51:D51"/>
    <mergeCell ref="E47:E48"/>
    <mergeCell ref="W51:X51"/>
    <mergeCell ref="W46:X46"/>
    <mergeCell ref="W47:X48"/>
    <mergeCell ref="E49:E50"/>
    <mergeCell ref="W49:X50"/>
    <mergeCell ref="V49:V50"/>
    <mergeCell ref="S46:V46"/>
    <mergeCell ref="V47:V48"/>
    <mergeCell ref="B9:J9"/>
    <mergeCell ref="H10:J10"/>
    <mergeCell ref="H16:J16"/>
    <mergeCell ref="E17:G17"/>
    <mergeCell ref="C22:D22"/>
    <mergeCell ref="C19:D19"/>
    <mergeCell ref="C20:D20"/>
    <mergeCell ref="E18:G18"/>
    <mergeCell ref="C21:D21"/>
    <mergeCell ref="E19:G19"/>
    <mergeCell ref="E20:G20"/>
    <mergeCell ref="E21:G21"/>
    <mergeCell ref="E11:G11"/>
    <mergeCell ref="E12:G12"/>
    <mergeCell ref="C13:D13"/>
    <mergeCell ref="E13:G13"/>
    <mergeCell ref="E22:G22"/>
    <mergeCell ref="C12:D12"/>
    <mergeCell ref="B15:J15"/>
    <mergeCell ref="C18:D18"/>
    <mergeCell ref="C16:G16"/>
    <mergeCell ref="I22:J22"/>
    <mergeCell ref="J64:L64"/>
    <mergeCell ref="B30:C30"/>
    <mergeCell ref="C64:E64"/>
    <mergeCell ref="B31:C31"/>
    <mergeCell ref="D41:E41"/>
    <mergeCell ref="D33:E33"/>
    <mergeCell ref="B38:C38"/>
    <mergeCell ref="B42:C42"/>
    <mergeCell ref="B33:C33"/>
    <mergeCell ref="D32:E32"/>
    <mergeCell ref="D38:E38"/>
    <mergeCell ref="D39:E39"/>
    <mergeCell ref="B36:F36"/>
    <mergeCell ref="D42:E42"/>
    <mergeCell ref="B32:C32"/>
    <mergeCell ref="D37:E37"/>
    <mergeCell ref="B7:L7"/>
    <mergeCell ref="I11:J11"/>
    <mergeCell ref="I12:J12"/>
    <mergeCell ref="C17:D17"/>
    <mergeCell ref="I24:J24"/>
    <mergeCell ref="B10:B11"/>
    <mergeCell ref="B24:D24"/>
    <mergeCell ref="I18:J18"/>
    <mergeCell ref="I17:J17"/>
    <mergeCell ref="B16:B17"/>
    <mergeCell ref="I13:J13"/>
    <mergeCell ref="C10:G10"/>
    <mergeCell ref="I19:J19"/>
    <mergeCell ref="I20:J20"/>
    <mergeCell ref="I21:J21"/>
    <mergeCell ref="C11:D11"/>
    <mergeCell ref="K23:L23"/>
    <mergeCell ref="B26:F26"/>
    <mergeCell ref="D28:E28"/>
    <mergeCell ref="D40:E40"/>
    <mergeCell ref="D30:E30"/>
    <mergeCell ref="D31:E31"/>
    <mergeCell ref="C23:D23"/>
    <mergeCell ref="I23:J23"/>
    <mergeCell ref="E23:G23"/>
    <mergeCell ref="B27:C27"/>
    <mergeCell ref="E24:G24"/>
    <mergeCell ref="D27:F27"/>
    <mergeCell ref="D29:E29"/>
    <mergeCell ref="H29:I29"/>
    <mergeCell ref="B34:C34"/>
    <mergeCell ref="D34:E34"/>
  </mergeCells>
  <pageMargins left="0.511811024" right="0.511811024" top="0.78740157499999996" bottom="0.78740157499999996" header="0.31496062000000002" footer="0.31496062000000002"/>
  <pageSetup paperSize="9" scale="7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A48C-DE63-4629-BDD9-D9662C85BDA6}">
  <sheetPr codeName="Planilha5"/>
  <dimension ref="B1:Y100"/>
  <sheetViews>
    <sheetView showGridLines="0" topLeftCell="A3" zoomScale="85" zoomScaleNormal="85" zoomScaleSheetLayoutView="100" workbookViewId="0">
      <selection activeCell="C15" sqref="C15"/>
    </sheetView>
  </sheetViews>
  <sheetFormatPr defaultColWidth="9.109375" defaultRowHeight="13.8"/>
  <cols>
    <col min="1" max="1" width="1.33203125" style="6" customWidth="1"/>
    <col min="2" max="2" width="11.5546875" style="6" customWidth="1"/>
    <col min="3" max="3" width="7.44140625" style="6" customWidth="1"/>
    <col min="4" max="4" width="9.88671875" style="6" customWidth="1"/>
    <col min="5" max="5" width="8.5546875" style="6" customWidth="1"/>
    <col min="6" max="6" width="9.109375" style="6" customWidth="1"/>
    <col min="7" max="7" width="5" style="6" customWidth="1"/>
    <col min="8" max="8" width="7.44140625" style="6" customWidth="1"/>
    <col min="9" max="9" width="11" style="6" customWidth="1"/>
    <col min="10" max="10" width="8.44140625" style="6" customWidth="1"/>
    <col min="11" max="11" width="11.6640625" style="6" customWidth="1"/>
    <col min="12" max="12" width="12" style="6" customWidth="1"/>
    <col min="13" max="13" width="9.88671875" style="6" customWidth="1"/>
    <col min="14" max="14" width="10.77734375" style="6" customWidth="1"/>
    <col min="15" max="15" width="5.44140625" style="6" hidden="1" customWidth="1"/>
    <col min="16" max="16" width="5.6640625" style="6" hidden="1" customWidth="1"/>
    <col min="17" max="17" width="9" style="6" hidden="1" customWidth="1"/>
    <col min="18" max="20" width="7" style="6" hidden="1" customWidth="1"/>
    <col min="21" max="21" width="6.5546875" style="6" customWidth="1"/>
    <col min="22" max="16384" width="9.109375" style="6"/>
  </cols>
  <sheetData>
    <row r="1" spans="2:25" ht="51.75" customHeight="1"/>
    <row r="4" spans="2:25">
      <c r="B4" s="141" t="s">
        <v>273</v>
      </c>
      <c r="C4" s="136"/>
      <c r="D4" s="136" t="str">
        <f>Summary!B7</f>
        <v>MSC SABRINA</v>
      </c>
      <c r="E4" s="136"/>
      <c r="F4" s="136"/>
      <c r="G4" s="136"/>
      <c r="H4" s="141" t="s">
        <v>41</v>
      </c>
      <c r="I4" s="136"/>
      <c r="J4" s="140">
        <f>Summary!B21</f>
        <v>9979022</v>
      </c>
      <c r="K4" s="231" t="s">
        <v>66</v>
      </c>
      <c r="L4" s="136" t="str">
        <f>Summary!B8</f>
        <v>MM623R</v>
      </c>
      <c r="M4" s="140"/>
      <c r="N4" s="140"/>
    </row>
    <row r="5" spans="2:25">
      <c r="B5" s="141" t="s">
        <v>33</v>
      </c>
      <c r="C5" s="136"/>
      <c r="D5" s="136" t="str">
        <f>Summary!B13</f>
        <v>TERMINAL DE CONTAINER DE PARANAGUA</v>
      </c>
      <c r="E5" s="136"/>
      <c r="F5" s="136"/>
      <c r="G5" s="136"/>
      <c r="H5" s="142" t="s">
        <v>170</v>
      </c>
      <c r="I5" s="136"/>
      <c r="J5" s="395">
        <f>'Time Log'!F7</f>
        <v>46188</v>
      </c>
      <c r="K5" s="395"/>
      <c r="L5" s="269">
        <f>'Time Log'!G7</f>
        <v>0.5</v>
      </c>
      <c r="M5" s="140"/>
      <c r="N5" s="140"/>
    </row>
    <row r="6" spans="2:25">
      <c r="B6" s="141" t="s">
        <v>34</v>
      </c>
      <c r="C6" s="136"/>
      <c r="D6" s="145" t="str">
        <f>Summary!B14</f>
        <v>PARANAGUA</v>
      </c>
      <c r="E6" s="145"/>
      <c r="F6" s="136"/>
      <c r="G6" s="136"/>
      <c r="H6" s="142" t="s">
        <v>171</v>
      </c>
      <c r="I6" s="136"/>
      <c r="J6" s="395">
        <f>'Time Log'!F14</f>
        <v>46189</v>
      </c>
      <c r="K6" s="395"/>
      <c r="L6" s="269">
        <f>'Time Log'!I14</f>
        <v>4.1666666666666664E-2</v>
      </c>
      <c r="M6" s="216"/>
      <c r="N6" s="136"/>
    </row>
    <row r="7" spans="2:25">
      <c r="D7" s="23"/>
      <c r="E7" s="23"/>
      <c r="K7" s="10"/>
    </row>
    <row r="8" spans="2:25" ht="15.6">
      <c r="B8" s="388" t="s">
        <v>1</v>
      </c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</row>
    <row r="9" spans="2:25">
      <c r="D9" s="23"/>
      <c r="E9" s="23"/>
      <c r="K9" s="10"/>
    </row>
    <row r="10" spans="2:25">
      <c r="B10" s="141" t="s">
        <v>37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</row>
    <row r="11" spans="2:25" ht="13.5" customHeight="1">
      <c r="B11" s="249" t="s">
        <v>151</v>
      </c>
      <c r="C11" s="270">
        <v>9.4499999999999993</v>
      </c>
      <c r="D11" s="271" t="s">
        <v>51</v>
      </c>
      <c r="E11" s="308" t="s">
        <v>2</v>
      </c>
      <c r="F11" s="270">
        <v>10.5</v>
      </c>
      <c r="G11" s="252" t="s">
        <v>51</v>
      </c>
      <c r="H11" s="252" t="s">
        <v>3</v>
      </c>
      <c r="I11" s="253" t="s">
        <v>18</v>
      </c>
      <c r="J11" s="254" t="s">
        <v>16</v>
      </c>
      <c r="K11" s="254"/>
      <c r="L11" s="255" t="s">
        <v>0</v>
      </c>
      <c r="M11" s="386" t="s">
        <v>10</v>
      </c>
      <c r="N11" s="386"/>
      <c r="U11" s="67">
        <f>F11-C11</f>
        <v>1.0500000000000007</v>
      </c>
    </row>
    <row r="12" spans="2:25">
      <c r="B12" s="385" t="s">
        <v>21</v>
      </c>
      <c r="C12" s="389" t="s">
        <v>4</v>
      </c>
      <c r="D12" s="392" t="s">
        <v>342</v>
      </c>
      <c r="E12" s="385" t="s">
        <v>22</v>
      </c>
      <c r="F12" s="387" t="s">
        <v>24</v>
      </c>
      <c r="G12" s="397" t="s">
        <v>7</v>
      </c>
      <c r="H12" s="397"/>
      <c r="I12" s="387" t="s">
        <v>23</v>
      </c>
      <c r="J12" s="387" t="s">
        <v>25</v>
      </c>
      <c r="K12" s="387" t="s">
        <v>26</v>
      </c>
      <c r="L12" s="387" t="s">
        <v>27</v>
      </c>
      <c r="M12" s="385" t="s">
        <v>19</v>
      </c>
      <c r="N12" s="385" t="s">
        <v>20</v>
      </c>
      <c r="Y12" s="6" t="s">
        <v>67</v>
      </c>
    </row>
    <row r="13" spans="2:25" ht="9.75" customHeight="1">
      <c r="B13" s="385"/>
      <c r="C13" s="390"/>
      <c r="D13" s="393"/>
      <c r="E13" s="385"/>
      <c r="F13" s="387"/>
      <c r="G13" s="385" t="s">
        <v>8</v>
      </c>
      <c r="H13" s="385" t="s">
        <v>6</v>
      </c>
      <c r="I13" s="387"/>
      <c r="J13" s="387"/>
      <c r="K13" s="387"/>
      <c r="L13" s="387"/>
      <c r="M13" s="385"/>
      <c r="N13" s="385"/>
    </row>
    <row r="14" spans="2:25">
      <c r="B14" s="385"/>
      <c r="C14" s="391"/>
      <c r="D14" s="394"/>
      <c r="E14" s="385"/>
      <c r="F14" s="387"/>
      <c r="G14" s="385"/>
      <c r="H14" s="385"/>
      <c r="I14" s="387"/>
      <c r="J14" s="387"/>
      <c r="K14" s="387"/>
      <c r="L14" s="387"/>
      <c r="M14" s="385"/>
      <c r="N14" s="385"/>
      <c r="O14" s="12"/>
      <c r="W14" s="18"/>
    </row>
    <row r="15" spans="2:25">
      <c r="B15" s="256" t="s">
        <v>286</v>
      </c>
      <c r="C15" s="256" t="s">
        <v>156</v>
      </c>
      <c r="D15" s="257">
        <v>1</v>
      </c>
      <c r="E15" s="258">
        <v>15</v>
      </c>
      <c r="F15" s="257">
        <v>10</v>
      </c>
      <c r="G15" s="259" t="s">
        <v>13</v>
      </c>
      <c r="H15" s="257">
        <v>0</v>
      </c>
      <c r="I15" s="260">
        <f t="shared" ref="I15:I42" si="0">IF(F15="","",F15-H15)</f>
        <v>10</v>
      </c>
      <c r="J15" s="272">
        <f t="shared" ref="J15:J42" si="1">IF(F15="","",T15)</f>
        <v>1</v>
      </c>
      <c r="K15" s="261">
        <v>0.95589999999999997</v>
      </c>
      <c r="L15" s="266">
        <f t="shared" ref="L15:L42" si="2">IF(F15="","",I15*J15)</f>
        <v>10</v>
      </c>
      <c r="M15" s="266">
        <f t="shared" ref="M15:M42" si="3">IF(B15="","",ROUND(SUM(L15*K15),3))</f>
        <v>9.5589999999999993</v>
      </c>
      <c r="N15" s="266">
        <f t="shared" ref="N15:N42" si="4">IFERROR((K15-0.0011)*L15,0)</f>
        <v>9.548</v>
      </c>
      <c r="O15" s="13">
        <f t="shared" ref="O15:O42" si="5">IF(E15="","",E15-15)</f>
        <v>0</v>
      </c>
      <c r="P15" s="6">
        <f t="shared" ref="P15:P42" si="6">K15*1000</f>
        <v>955.9</v>
      </c>
      <c r="Q15" s="6">
        <f t="shared" ref="Q15:Q42" si="7">IF(K15&gt;0.8385,186.9696,IF(K15&gt;0.7875,594.5418,IF(K15&gt;0.77,2680.3206,346.4228)))</f>
        <v>186.96960000000001</v>
      </c>
      <c r="R15" s="6">
        <f t="shared" ref="R15:R42" si="8">IF(K15&gt;0.8385,0.4862,IF(K15&gt;0.7875,0,IF(K15&gt;0.77,-0.00336312,0.4388)))</f>
        <v>0.48620000000000002</v>
      </c>
      <c r="S15" s="6">
        <f t="shared" ref="S15:S42" si="9">IF(OR(K15&gt;0.7876,K15=0.7876),(Q15/P15^2)+(R15/P15),IF(OR(K15&gt;0.7701,K15=0.7701),(Q15/P15^2)+R15,(Q15/P15^2)+(R15/P15)))</f>
        <v>7.1324966540712838E-4</v>
      </c>
      <c r="T15" s="14">
        <f t="shared" ref="T15:T42" si="10">ROUND(EXP(-S15*O15*(1+0.8*S15*O15)),4)</f>
        <v>1</v>
      </c>
      <c r="W15" s="19"/>
    </row>
    <row r="16" spans="2:25">
      <c r="B16" s="256" t="s">
        <v>287</v>
      </c>
      <c r="C16" s="256" t="s">
        <v>156</v>
      </c>
      <c r="D16" s="257">
        <v>1</v>
      </c>
      <c r="E16" s="258">
        <v>15</v>
      </c>
      <c r="F16" s="257">
        <v>10</v>
      </c>
      <c r="G16" s="259" t="s">
        <v>13</v>
      </c>
      <c r="H16" s="257">
        <v>0</v>
      </c>
      <c r="I16" s="260">
        <f t="shared" si="0"/>
        <v>10</v>
      </c>
      <c r="J16" s="272">
        <f t="shared" si="1"/>
        <v>1</v>
      </c>
      <c r="K16" s="261">
        <v>0.95589999999999997</v>
      </c>
      <c r="L16" s="266">
        <f t="shared" si="2"/>
        <v>10</v>
      </c>
      <c r="M16" s="266">
        <f t="shared" si="3"/>
        <v>9.5589999999999993</v>
      </c>
      <c r="N16" s="266">
        <f t="shared" si="4"/>
        <v>9.548</v>
      </c>
      <c r="O16" s="13">
        <f t="shared" si="5"/>
        <v>0</v>
      </c>
      <c r="P16" s="6">
        <f t="shared" si="6"/>
        <v>955.9</v>
      </c>
      <c r="Q16" s="6">
        <f t="shared" si="7"/>
        <v>186.96960000000001</v>
      </c>
      <c r="R16" s="6">
        <f t="shared" si="8"/>
        <v>0.48620000000000002</v>
      </c>
      <c r="S16" s="6">
        <f t="shared" si="9"/>
        <v>7.1324966540712838E-4</v>
      </c>
      <c r="T16" s="14">
        <f t="shared" si="10"/>
        <v>1</v>
      </c>
      <c r="W16" s="19"/>
    </row>
    <row r="17" spans="2:23">
      <c r="B17" s="256" t="s">
        <v>288</v>
      </c>
      <c r="C17" s="256" t="s">
        <v>156</v>
      </c>
      <c r="D17" s="257">
        <v>1</v>
      </c>
      <c r="E17" s="258">
        <v>15</v>
      </c>
      <c r="F17" s="257">
        <v>10</v>
      </c>
      <c r="G17" s="259" t="s">
        <v>13</v>
      </c>
      <c r="H17" s="257">
        <v>0</v>
      </c>
      <c r="I17" s="260">
        <f t="shared" si="0"/>
        <v>10</v>
      </c>
      <c r="J17" s="272">
        <f t="shared" si="1"/>
        <v>1</v>
      </c>
      <c r="K17" s="261">
        <v>0.95589999999999997</v>
      </c>
      <c r="L17" s="266">
        <f t="shared" si="2"/>
        <v>10</v>
      </c>
      <c r="M17" s="266">
        <f t="shared" si="3"/>
        <v>9.5589999999999993</v>
      </c>
      <c r="N17" s="266">
        <f t="shared" si="4"/>
        <v>9.548</v>
      </c>
      <c r="O17" s="13">
        <f t="shared" si="5"/>
        <v>0</v>
      </c>
      <c r="P17" s="6">
        <f t="shared" si="6"/>
        <v>955.9</v>
      </c>
      <c r="Q17" s="6">
        <f t="shared" si="7"/>
        <v>186.96960000000001</v>
      </c>
      <c r="R17" s="6">
        <f t="shared" si="8"/>
        <v>0.48620000000000002</v>
      </c>
      <c r="S17" s="6">
        <f t="shared" si="9"/>
        <v>7.1324966540712838E-4</v>
      </c>
      <c r="T17" s="14">
        <f t="shared" si="10"/>
        <v>1</v>
      </c>
      <c r="W17" s="18"/>
    </row>
    <row r="18" spans="2:23">
      <c r="B18" s="256" t="s">
        <v>289</v>
      </c>
      <c r="C18" s="256" t="s">
        <v>156</v>
      </c>
      <c r="D18" s="257">
        <v>1</v>
      </c>
      <c r="E18" s="258">
        <v>15</v>
      </c>
      <c r="F18" s="257">
        <v>10</v>
      </c>
      <c r="G18" s="259" t="s">
        <v>13</v>
      </c>
      <c r="H18" s="257">
        <v>0</v>
      </c>
      <c r="I18" s="260">
        <f t="shared" si="0"/>
        <v>10</v>
      </c>
      <c r="J18" s="272">
        <f t="shared" si="1"/>
        <v>1</v>
      </c>
      <c r="K18" s="261">
        <v>0.95589999999999997</v>
      </c>
      <c r="L18" s="266">
        <f t="shared" si="2"/>
        <v>10</v>
      </c>
      <c r="M18" s="266">
        <f t="shared" si="3"/>
        <v>9.5589999999999993</v>
      </c>
      <c r="N18" s="266">
        <f t="shared" si="4"/>
        <v>9.548</v>
      </c>
      <c r="O18" s="13">
        <f t="shared" si="5"/>
        <v>0</v>
      </c>
      <c r="P18" s="6">
        <f t="shared" si="6"/>
        <v>955.9</v>
      </c>
      <c r="Q18" s="6">
        <f t="shared" si="7"/>
        <v>186.96960000000001</v>
      </c>
      <c r="R18" s="6">
        <f t="shared" si="8"/>
        <v>0.48620000000000002</v>
      </c>
      <c r="S18" s="6">
        <f t="shared" si="9"/>
        <v>7.1324966540712838E-4</v>
      </c>
      <c r="T18" s="14">
        <f t="shared" si="10"/>
        <v>1</v>
      </c>
    </row>
    <row r="19" spans="2:23">
      <c r="B19" s="256" t="s">
        <v>290</v>
      </c>
      <c r="C19" s="256" t="s">
        <v>156</v>
      </c>
      <c r="D19" s="257">
        <v>1</v>
      </c>
      <c r="E19" s="258">
        <v>15</v>
      </c>
      <c r="F19" s="257">
        <v>10</v>
      </c>
      <c r="G19" s="256" t="s">
        <v>13</v>
      </c>
      <c r="H19" s="257">
        <v>0</v>
      </c>
      <c r="I19" s="260">
        <f t="shared" si="0"/>
        <v>10</v>
      </c>
      <c r="J19" s="272">
        <f t="shared" si="1"/>
        <v>1</v>
      </c>
      <c r="K19" s="261">
        <v>0.95589999999999997</v>
      </c>
      <c r="L19" s="266">
        <f t="shared" si="2"/>
        <v>10</v>
      </c>
      <c r="M19" s="266">
        <f t="shared" si="3"/>
        <v>9.5589999999999993</v>
      </c>
      <c r="N19" s="266">
        <f t="shared" si="4"/>
        <v>9.548</v>
      </c>
      <c r="O19" s="13">
        <f t="shared" si="5"/>
        <v>0</v>
      </c>
      <c r="P19" s="6">
        <f t="shared" si="6"/>
        <v>955.9</v>
      </c>
      <c r="Q19" s="6">
        <f t="shared" si="7"/>
        <v>186.96960000000001</v>
      </c>
      <c r="R19" s="6">
        <f t="shared" si="8"/>
        <v>0.48620000000000002</v>
      </c>
      <c r="S19" s="6">
        <f t="shared" si="9"/>
        <v>7.1324966540712838E-4</v>
      </c>
      <c r="T19" s="14">
        <f t="shared" si="10"/>
        <v>1</v>
      </c>
    </row>
    <row r="20" spans="2:23">
      <c r="B20" s="256" t="s">
        <v>291</v>
      </c>
      <c r="C20" s="256" t="s">
        <v>156</v>
      </c>
      <c r="D20" s="250">
        <v>11.07</v>
      </c>
      <c r="E20" s="258">
        <v>15</v>
      </c>
      <c r="F20" s="257">
        <v>10</v>
      </c>
      <c r="G20" s="256" t="s">
        <v>13</v>
      </c>
      <c r="H20" s="257">
        <v>0</v>
      </c>
      <c r="I20" s="260">
        <f t="shared" si="0"/>
        <v>10</v>
      </c>
      <c r="J20" s="272">
        <f t="shared" si="1"/>
        <v>1</v>
      </c>
      <c r="K20" s="273">
        <v>0.95589999999999997</v>
      </c>
      <c r="L20" s="266">
        <f t="shared" si="2"/>
        <v>10</v>
      </c>
      <c r="M20" s="266">
        <f t="shared" si="3"/>
        <v>9.5589999999999993</v>
      </c>
      <c r="N20" s="266">
        <f t="shared" si="4"/>
        <v>9.548</v>
      </c>
      <c r="O20" s="13">
        <f t="shared" si="5"/>
        <v>0</v>
      </c>
      <c r="P20" s="6">
        <f t="shared" si="6"/>
        <v>955.9</v>
      </c>
      <c r="Q20" s="6">
        <f t="shared" si="7"/>
        <v>186.96960000000001</v>
      </c>
      <c r="R20" s="6">
        <f t="shared" si="8"/>
        <v>0.48620000000000002</v>
      </c>
      <c r="S20" s="6">
        <f t="shared" si="9"/>
        <v>7.1324966540712838E-4</v>
      </c>
      <c r="T20" s="14">
        <f t="shared" si="10"/>
        <v>1</v>
      </c>
      <c r="V20" s="24" t="s">
        <v>39</v>
      </c>
    </row>
    <row r="21" spans="2:23">
      <c r="B21" s="256" t="s">
        <v>297</v>
      </c>
      <c r="C21" s="256" t="s">
        <v>156</v>
      </c>
      <c r="D21" s="250">
        <v>17.11</v>
      </c>
      <c r="E21" s="258">
        <v>15</v>
      </c>
      <c r="F21" s="257">
        <v>10</v>
      </c>
      <c r="G21" s="256" t="s">
        <v>13</v>
      </c>
      <c r="H21" s="257">
        <v>0</v>
      </c>
      <c r="I21" s="260">
        <f t="shared" si="0"/>
        <v>10</v>
      </c>
      <c r="J21" s="272">
        <f t="shared" si="1"/>
        <v>1</v>
      </c>
      <c r="K21" s="273">
        <v>0.97599999999999998</v>
      </c>
      <c r="L21" s="266">
        <f t="shared" si="2"/>
        <v>10</v>
      </c>
      <c r="M21" s="266">
        <f t="shared" si="3"/>
        <v>9.76</v>
      </c>
      <c r="N21" s="266">
        <f t="shared" si="4"/>
        <v>9.7490000000000006</v>
      </c>
      <c r="O21" s="13">
        <f t="shared" si="5"/>
        <v>0</v>
      </c>
      <c r="P21" s="6">
        <f t="shared" si="6"/>
        <v>976</v>
      </c>
      <c r="Q21" s="6">
        <f t="shared" si="7"/>
        <v>186.96960000000001</v>
      </c>
      <c r="R21" s="6">
        <f t="shared" si="8"/>
        <v>0.48620000000000002</v>
      </c>
      <c r="S21" s="6">
        <f t="shared" si="9"/>
        <v>6.9443361999462503E-4</v>
      </c>
      <c r="T21" s="14">
        <f t="shared" si="10"/>
        <v>1</v>
      </c>
    </row>
    <row r="22" spans="2:23">
      <c r="B22" s="256" t="s">
        <v>291</v>
      </c>
      <c r="C22" s="256" t="s">
        <v>156</v>
      </c>
      <c r="D22" s="250">
        <v>10.1</v>
      </c>
      <c r="E22" s="258">
        <v>15</v>
      </c>
      <c r="F22" s="257">
        <v>10</v>
      </c>
      <c r="G22" s="256" t="s">
        <v>13</v>
      </c>
      <c r="H22" s="257">
        <v>0</v>
      </c>
      <c r="I22" s="260">
        <f t="shared" si="0"/>
        <v>10</v>
      </c>
      <c r="J22" s="272">
        <f t="shared" si="1"/>
        <v>1</v>
      </c>
      <c r="K22" s="273">
        <v>0.95569999999999999</v>
      </c>
      <c r="L22" s="266">
        <f t="shared" si="2"/>
        <v>10</v>
      </c>
      <c r="M22" s="266">
        <f t="shared" si="3"/>
        <v>9.5570000000000004</v>
      </c>
      <c r="N22" s="266">
        <f t="shared" si="4"/>
        <v>9.5459999999999994</v>
      </c>
      <c r="O22" s="13">
        <f t="shared" si="5"/>
        <v>0</v>
      </c>
      <c r="P22" s="6">
        <f t="shared" si="6"/>
        <v>955.7</v>
      </c>
      <c r="Q22" s="6">
        <f t="shared" si="7"/>
        <v>186.96960000000001</v>
      </c>
      <c r="R22" s="6">
        <f t="shared" si="8"/>
        <v>0.48620000000000002</v>
      </c>
      <c r="S22" s="6">
        <f t="shared" si="9"/>
        <v>7.1344175739032156E-4</v>
      </c>
      <c r="T22" s="14">
        <f t="shared" si="10"/>
        <v>1</v>
      </c>
    </row>
    <row r="23" spans="2:23">
      <c r="B23" s="256" t="s">
        <v>298</v>
      </c>
      <c r="C23" s="256" t="s">
        <v>156</v>
      </c>
      <c r="D23" s="274" t="s">
        <v>228</v>
      </c>
      <c r="E23" s="258">
        <v>15</v>
      </c>
      <c r="F23" s="257">
        <v>10</v>
      </c>
      <c r="G23" s="256" t="s">
        <v>13</v>
      </c>
      <c r="H23" s="257">
        <v>0</v>
      </c>
      <c r="I23" s="260">
        <f t="shared" si="0"/>
        <v>10</v>
      </c>
      <c r="J23" s="272">
        <f t="shared" si="1"/>
        <v>1</v>
      </c>
      <c r="K23" s="273">
        <v>0.97599999999999998</v>
      </c>
      <c r="L23" s="266">
        <f t="shared" si="2"/>
        <v>10</v>
      </c>
      <c r="M23" s="266">
        <f t="shared" si="3"/>
        <v>9.76</v>
      </c>
      <c r="N23" s="266">
        <f t="shared" si="4"/>
        <v>9.7490000000000006</v>
      </c>
      <c r="O23" s="13">
        <f t="shared" si="5"/>
        <v>0</v>
      </c>
      <c r="P23" s="6">
        <f t="shared" si="6"/>
        <v>976</v>
      </c>
      <c r="Q23" s="6">
        <f t="shared" si="7"/>
        <v>186.96960000000001</v>
      </c>
      <c r="R23" s="6">
        <f t="shared" si="8"/>
        <v>0.48620000000000002</v>
      </c>
      <c r="S23" s="6">
        <f t="shared" si="9"/>
        <v>6.9443361999462503E-4</v>
      </c>
      <c r="T23" s="14">
        <f t="shared" si="10"/>
        <v>1</v>
      </c>
    </row>
    <row r="24" spans="2:23">
      <c r="B24" s="256" t="s">
        <v>299</v>
      </c>
      <c r="C24" s="256" t="s">
        <v>156</v>
      </c>
      <c r="D24" s="274" t="s">
        <v>229</v>
      </c>
      <c r="E24" s="258">
        <v>15</v>
      </c>
      <c r="F24" s="257">
        <v>10</v>
      </c>
      <c r="G24" s="256" t="s">
        <v>13</v>
      </c>
      <c r="H24" s="257">
        <v>0</v>
      </c>
      <c r="I24" s="260">
        <f t="shared" si="0"/>
        <v>10</v>
      </c>
      <c r="J24" s="272">
        <f t="shared" si="1"/>
        <v>1</v>
      </c>
      <c r="K24" s="273">
        <v>0.93669999999999998</v>
      </c>
      <c r="L24" s="266">
        <f t="shared" si="2"/>
        <v>10</v>
      </c>
      <c r="M24" s="266">
        <f t="shared" si="3"/>
        <v>9.3670000000000009</v>
      </c>
      <c r="N24" s="266">
        <f t="shared" si="4"/>
        <v>9.3559999999999999</v>
      </c>
      <c r="O24" s="13">
        <f t="shared" si="5"/>
        <v>0</v>
      </c>
      <c r="P24" s="6">
        <f t="shared" si="6"/>
        <v>936.69999999999993</v>
      </c>
      <c r="Q24" s="6">
        <f t="shared" si="7"/>
        <v>186.96960000000001</v>
      </c>
      <c r="R24" s="6">
        <f t="shared" si="8"/>
        <v>0.48620000000000002</v>
      </c>
      <c r="S24" s="6">
        <f t="shared" si="9"/>
        <v>7.3214964154202163E-4</v>
      </c>
      <c r="T24" s="14">
        <f t="shared" si="10"/>
        <v>1</v>
      </c>
    </row>
    <row r="25" spans="2:23">
      <c r="B25" s="256" t="s">
        <v>300</v>
      </c>
      <c r="C25" s="256" t="s">
        <v>156</v>
      </c>
      <c r="D25" s="257" t="s">
        <v>230</v>
      </c>
      <c r="E25" s="258">
        <v>15</v>
      </c>
      <c r="F25" s="257">
        <v>10</v>
      </c>
      <c r="G25" s="256" t="s">
        <v>13</v>
      </c>
      <c r="H25" s="257">
        <v>0</v>
      </c>
      <c r="I25" s="260">
        <f t="shared" si="0"/>
        <v>10</v>
      </c>
      <c r="J25" s="272">
        <f t="shared" si="1"/>
        <v>1</v>
      </c>
      <c r="K25" s="273">
        <v>0.95569999999999999</v>
      </c>
      <c r="L25" s="266">
        <f t="shared" si="2"/>
        <v>10</v>
      </c>
      <c r="M25" s="266">
        <f t="shared" si="3"/>
        <v>9.5570000000000004</v>
      </c>
      <c r="N25" s="266">
        <f t="shared" si="4"/>
        <v>9.5459999999999994</v>
      </c>
      <c r="O25" s="13">
        <f t="shared" si="5"/>
        <v>0</v>
      </c>
      <c r="P25" s="6">
        <f t="shared" si="6"/>
        <v>955.7</v>
      </c>
      <c r="Q25" s="6">
        <f t="shared" si="7"/>
        <v>186.96960000000001</v>
      </c>
      <c r="R25" s="6">
        <f t="shared" si="8"/>
        <v>0.48620000000000002</v>
      </c>
      <c r="S25" s="6">
        <f t="shared" si="9"/>
        <v>7.1344175739032156E-4</v>
      </c>
      <c r="T25" s="14">
        <f t="shared" si="10"/>
        <v>1</v>
      </c>
    </row>
    <row r="26" spans="2:23">
      <c r="B26" s="256" t="s">
        <v>301</v>
      </c>
      <c r="C26" s="256" t="s">
        <v>156</v>
      </c>
      <c r="D26" s="257" t="s">
        <v>231</v>
      </c>
      <c r="E26" s="258">
        <v>15</v>
      </c>
      <c r="F26" s="257">
        <v>10</v>
      </c>
      <c r="G26" s="256" t="s">
        <v>13</v>
      </c>
      <c r="H26" s="257">
        <v>0</v>
      </c>
      <c r="I26" s="260">
        <f t="shared" si="0"/>
        <v>10</v>
      </c>
      <c r="J26" s="272">
        <f t="shared" si="1"/>
        <v>1</v>
      </c>
      <c r="K26" s="273">
        <v>0.95569999999999999</v>
      </c>
      <c r="L26" s="266">
        <f t="shared" si="2"/>
        <v>10</v>
      </c>
      <c r="M26" s="266">
        <f t="shared" si="3"/>
        <v>9.5570000000000004</v>
      </c>
      <c r="N26" s="266">
        <f t="shared" si="4"/>
        <v>9.5459999999999994</v>
      </c>
      <c r="O26" s="13">
        <f t="shared" si="5"/>
        <v>0</v>
      </c>
      <c r="P26" s="6">
        <f t="shared" si="6"/>
        <v>955.7</v>
      </c>
      <c r="Q26" s="6">
        <f t="shared" si="7"/>
        <v>186.96960000000001</v>
      </c>
      <c r="R26" s="6">
        <f t="shared" si="8"/>
        <v>0.48620000000000002</v>
      </c>
      <c r="S26" s="6">
        <f t="shared" si="9"/>
        <v>7.1344175739032156E-4</v>
      </c>
      <c r="T26" s="14">
        <f t="shared" si="10"/>
        <v>1</v>
      </c>
    </row>
    <row r="27" spans="2:23">
      <c r="B27" s="256" t="s">
        <v>292</v>
      </c>
      <c r="C27" s="256" t="s">
        <v>113</v>
      </c>
      <c r="D27" s="257">
        <v>9.94</v>
      </c>
      <c r="E27" s="258">
        <v>15</v>
      </c>
      <c r="F27" s="257">
        <v>100</v>
      </c>
      <c r="G27" s="256" t="s">
        <v>13</v>
      </c>
      <c r="H27" s="257">
        <v>0</v>
      </c>
      <c r="I27" s="260">
        <f t="shared" si="0"/>
        <v>100</v>
      </c>
      <c r="J27" s="272">
        <f t="shared" si="1"/>
        <v>1</v>
      </c>
      <c r="K27" s="273">
        <v>0.95569999999999999</v>
      </c>
      <c r="L27" s="266">
        <f t="shared" si="2"/>
        <v>100</v>
      </c>
      <c r="M27" s="266">
        <f t="shared" si="3"/>
        <v>95.57</v>
      </c>
      <c r="N27" s="266">
        <f t="shared" si="4"/>
        <v>95.46</v>
      </c>
      <c r="O27" s="13">
        <f t="shared" si="5"/>
        <v>0</v>
      </c>
      <c r="P27" s="6">
        <f t="shared" si="6"/>
        <v>955.7</v>
      </c>
      <c r="Q27" s="6">
        <f t="shared" si="7"/>
        <v>186.96960000000001</v>
      </c>
      <c r="R27" s="6">
        <f t="shared" si="8"/>
        <v>0.48620000000000002</v>
      </c>
      <c r="S27" s="6">
        <f t="shared" si="9"/>
        <v>7.1344175739032156E-4</v>
      </c>
      <c r="T27" s="14">
        <f t="shared" si="10"/>
        <v>1</v>
      </c>
    </row>
    <row r="28" spans="2:23">
      <c r="B28" s="256" t="s">
        <v>293</v>
      </c>
      <c r="C28" s="256" t="s">
        <v>113</v>
      </c>
      <c r="D28" s="257" t="s">
        <v>232</v>
      </c>
      <c r="E28" s="258">
        <v>15</v>
      </c>
      <c r="F28" s="257">
        <v>100</v>
      </c>
      <c r="G28" s="256" t="s">
        <v>13</v>
      </c>
      <c r="H28" s="257">
        <v>0</v>
      </c>
      <c r="I28" s="260">
        <f t="shared" si="0"/>
        <v>100</v>
      </c>
      <c r="J28" s="272">
        <f t="shared" si="1"/>
        <v>1</v>
      </c>
      <c r="K28" s="273">
        <v>0.97799999999999998</v>
      </c>
      <c r="L28" s="266">
        <f t="shared" si="2"/>
        <v>100</v>
      </c>
      <c r="M28" s="266">
        <f t="shared" si="3"/>
        <v>97.8</v>
      </c>
      <c r="N28" s="266">
        <f t="shared" si="4"/>
        <v>97.69</v>
      </c>
      <c r="O28" s="13">
        <f t="shared" si="5"/>
        <v>0</v>
      </c>
      <c r="P28" s="6">
        <f t="shared" si="6"/>
        <v>978</v>
      </c>
      <c r="Q28" s="6">
        <f t="shared" si="7"/>
        <v>186.96960000000001</v>
      </c>
      <c r="R28" s="6">
        <f t="shared" si="8"/>
        <v>0.48620000000000002</v>
      </c>
      <c r="S28" s="6">
        <f t="shared" si="9"/>
        <v>6.926129449107356E-4</v>
      </c>
      <c r="T28" s="14">
        <f t="shared" si="10"/>
        <v>1</v>
      </c>
    </row>
    <row r="29" spans="2:23">
      <c r="B29" s="256" t="s">
        <v>295</v>
      </c>
      <c r="C29" s="256" t="s">
        <v>113</v>
      </c>
      <c r="D29" s="257">
        <v>2.97</v>
      </c>
      <c r="E29" s="258">
        <v>15</v>
      </c>
      <c r="F29" s="257">
        <v>100</v>
      </c>
      <c r="G29" s="256" t="s">
        <v>13</v>
      </c>
      <c r="H29" s="257">
        <v>0</v>
      </c>
      <c r="I29" s="260">
        <f t="shared" si="0"/>
        <v>100</v>
      </c>
      <c r="J29" s="272">
        <f t="shared" si="1"/>
        <v>1</v>
      </c>
      <c r="K29" s="273">
        <v>0.97799999999999998</v>
      </c>
      <c r="L29" s="266">
        <f t="shared" si="2"/>
        <v>100</v>
      </c>
      <c r="M29" s="266">
        <f t="shared" si="3"/>
        <v>97.8</v>
      </c>
      <c r="N29" s="266">
        <f t="shared" si="4"/>
        <v>97.69</v>
      </c>
      <c r="O29" s="13">
        <f t="shared" si="5"/>
        <v>0</v>
      </c>
      <c r="P29" s="6">
        <f t="shared" si="6"/>
        <v>978</v>
      </c>
      <c r="Q29" s="6">
        <f t="shared" si="7"/>
        <v>186.96960000000001</v>
      </c>
      <c r="R29" s="6">
        <f t="shared" si="8"/>
        <v>0.48620000000000002</v>
      </c>
      <c r="S29" s="6">
        <f t="shared" si="9"/>
        <v>6.926129449107356E-4</v>
      </c>
      <c r="T29" s="14">
        <f t="shared" si="10"/>
        <v>1</v>
      </c>
    </row>
    <row r="30" spans="2:23">
      <c r="B30" s="256" t="s">
        <v>294</v>
      </c>
      <c r="C30" s="256" t="s">
        <v>113</v>
      </c>
      <c r="D30" s="257">
        <v>2.09</v>
      </c>
      <c r="E30" s="258">
        <v>15</v>
      </c>
      <c r="F30" s="257">
        <v>100</v>
      </c>
      <c r="G30" s="256" t="s">
        <v>13</v>
      </c>
      <c r="H30" s="257">
        <v>0</v>
      </c>
      <c r="I30" s="260">
        <f t="shared" si="0"/>
        <v>100</v>
      </c>
      <c r="J30" s="272">
        <f t="shared" si="1"/>
        <v>1</v>
      </c>
      <c r="K30" s="273">
        <v>0.97799999999999998</v>
      </c>
      <c r="L30" s="266">
        <f t="shared" si="2"/>
        <v>100</v>
      </c>
      <c r="M30" s="266">
        <f t="shared" si="3"/>
        <v>97.8</v>
      </c>
      <c r="N30" s="266">
        <f t="shared" si="4"/>
        <v>97.69</v>
      </c>
      <c r="O30" s="13">
        <f t="shared" si="5"/>
        <v>0</v>
      </c>
      <c r="P30" s="6">
        <f t="shared" si="6"/>
        <v>978</v>
      </c>
      <c r="Q30" s="6">
        <f t="shared" si="7"/>
        <v>186.96960000000001</v>
      </c>
      <c r="R30" s="6">
        <f t="shared" si="8"/>
        <v>0.48620000000000002</v>
      </c>
      <c r="S30" s="6">
        <f t="shared" si="9"/>
        <v>6.926129449107356E-4</v>
      </c>
      <c r="T30" s="14">
        <f t="shared" si="10"/>
        <v>1</v>
      </c>
    </row>
    <row r="31" spans="2:23">
      <c r="B31" s="256" t="s">
        <v>296</v>
      </c>
      <c r="C31" s="256" t="s">
        <v>113</v>
      </c>
      <c r="D31" s="257">
        <v>3.05</v>
      </c>
      <c r="E31" s="258">
        <v>15</v>
      </c>
      <c r="F31" s="257">
        <v>100</v>
      </c>
      <c r="G31" s="256" t="s">
        <v>13</v>
      </c>
      <c r="H31" s="257">
        <v>0</v>
      </c>
      <c r="I31" s="260">
        <f t="shared" si="0"/>
        <v>100</v>
      </c>
      <c r="J31" s="272">
        <f t="shared" si="1"/>
        <v>1</v>
      </c>
      <c r="K31" s="273">
        <v>0.97799999999999998</v>
      </c>
      <c r="L31" s="266">
        <f t="shared" si="2"/>
        <v>100</v>
      </c>
      <c r="M31" s="266">
        <f t="shared" si="3"/>
        <v>97.8</v>
      </c>
      <c r="N31" s="266">
        <f t="shared" si="4"/>
        <v>97.69</v>
      </c>
      <c r="O31" s="13">
        <f t="shared" si="5"/>
        <v>0</v>
      </c>
      <c r="P31" s="6">
        <f t="shared" si="6"/>
        <v>978</v>
      </c>
      <c r="Q31" s="6">
        <f t="shared" si="7"/>
        <v>186.96960000000001</v>
      </c>
      <c r="R31" s="6">
        <f t="shared" si="8"/>
        <v>0.48620000000000002</v>
      </c>
      <c r="S31" s="6">
        <f t="shared" si="9"/>
        <v>6.926129449107356E-4</v>
      </c>
      <c r="T31" s="14">
        <f t="shared" si="10"/>
        <v>1</v>
      </c>
    </row>
    <row r="32" spans="2:23">
      <c r="B32" s="256" t="s">
        <v>302</v>
      </c>
      <c r="C32" s="256" t="s">
        <v>113</v>
      </c>
      <c r="D32" s="257">
        <v>2.25</v>
      </c>
      <c r="E32" s="258">
        <v>15</v>
      </c>
      <c r="F32" s="257">
        <v>100</v>
      </c>
      <c r="G32" s="256" t="s">
        <v>13</v>
      </c>
      <c r="H32" s="257">
        <v>0</v>
      </c>
      <c r="I32" s="260">
        <f t="shared" si="0"/>
        <v>100</v>
      </c>
      <c r="J32" s="272">
        <f t="shared" si="1"/>
        <v>1</v>
      </c>
      <c r="K32" s="273">
        <v>0.95569999999999999</v>
      </c>
      <c r="L32" s="266">
        <f t="shared" si="2"/>
        <v>100</v>
      </c>
      <c r="M32" s="266">
        <f t="shared" si="3"/>
        <v>95.57</v>
      </c>
      <c r="N32" s="266">
        <f t="shared" si="4"/>
        <v>95.46</v>
      </c>
      <c r="O32" s="13">
        <f t="shared" si="5"/>
        <v>0</v>
      </c>
      <c r="P32" s="6">
        <f t="shared" si="6"/>
        <v>955.7</v>
      </c>
      <c r="Q32" s="6">
        <f t="shared" si="7"/>
        <v>186.96960000000001</v>
      </c>
      <c r="R32" s="6">
        <f t="shared" si="8"/>
        <v>0.48620000000000002</v>
      </c>
      <c r="S32" s="6">
        <f t="shared" si="9"/>
        <v>7.1344175739032156E-4</v>
      </c>
      <c r="T32" s="14">
        <f t="shared" si="10"/>
        <v>1</v>
      </c>
    </row>
    <row r="33" spans="2:24">
      <c r="B33" s="256" t="s">
        <v>303</v>
      </c>
      <c r="C33" s="256" t="s">
        <v>154</v>
      </c>
      <c r="D33" s="274" t="s">
        <v>252</v>
      </c>
      <c r="E33" s="258">
        <v>15</v>
      </c>
      <c r="F33" s="257">
        <v>1</v>
      </c>
      <c r="G33" s="256" t="s">
        <v>13</v>
      </c>
      <c r="H33" s="257">
        <v>0</v>
      </c>
      <c r="I33" s="260">
        <f t="shared" si="0"/>
        <v>1</v>
      </c>
      <c r="J33" s="272">
        <f t="shared" si="1"/>
        <v>1</v>
      </c>
      <c r="K33" s="273">
        <v>0.86909999999999998</v>
      </c>
      <c r="L33" s="266">
        <f t="shared" si="2"/>
        <v>1</v>
      </c>
      <c r="M33" s="266">
        <f t="shared" si="3"/>
        <v>0.86899999999999999</v>
      </c>
      <c r="N33" s="266">
        <f t="shared" si="4"/>
        <v>0.86799999999999999</v>
      </c>
      <c r="O33" s="13">
        <f t="shared" si="5"/>
        <v>0</v>
      </c>
      <c r="P33" s="6">
        <f t="shared" si="6"/>
        <v>869.1</v>
      </c>
      <c r="Q33" s="6">
        <f t="shared" si="7"/>
        <v>186.96960000000001</v>
      </c>
      <c r="R33" s="6">
        <f t="shared" si="8"/>
        <v>0.48620000000000002</v>
      </c>
      <c r="S33" s="6">
        <f t="shared" si="9"/>
        <v>8.0696137915317319E-4</v>
      </c>
      <c r="T33" s="14">
        <f t="shared" si="10"/>
        <v>1</v>
      </c>
    </row>
    <row r="34" spans="2:24">
      <c r="B34" s="256" t="s">
        <v>248</v>
      </c>
      <c r="C34" s="256" t="s">
        <v>154</v>
      </c>
      <c r="D34" s="274" t="s">
        <v>249</v>
      </c>
      <c r="E34" s="258">
        <v>15</v>
      </c>
      <c r="F34" s="257">
        <v>1</v>
      </c>
      <c r="G34" s="256" t="s">
        <v>13</v>
      </c>
      <c r="H34" s="257">
        <v>0</v>
      </c>
      <c r="I34" s="260">
        <f t="shared" si="0"/>
        <v>1</v>
      </c>
      <c r="J34" s="272">
        <f t="shared" si="1"/>
        <v>1</v>
      </c>
      <c r="K34" s="273">
        <v>0.88700000000000001</v>
      </c>
      <c r="L34" s="266">
        <f t="shared" si="2"/>
        <v>1</v>
      </c>
      <c r="M34" s="266">
        <f t="shared" si="3"/>
        <v>0.88700000000000001</v>
      </c>
      <c r="N34" s="266">
        <f t="shared" si="4"/>
        <v>0.88590000000000002</v>
      </c>
      <c r="O34" s="13">
        <f t="shared" si="5"/>
        <v>0</v>
      </c>
      <c r="P34" s="6">
        <f t="shared" si="6"/>
        <v>887</v>
      </c>
      <c r="Q34" s="6">
        <f t="shared" si="7"/>
        <v>186.96960000000001</v>
      </c>
      <c r="R34" s="6">
        <f t="shared" si="8"/>
        <v>0.48620000000000002</v>
      </c>
      <c r="S34" s="6">
        <f t="shared" si="9"/>
        <v>7.8578210376870463E-4</v>
      </c>
      <c r="T34" s="14">
        <f t="shared" si="10"/>
        <v>1</v>
      </c>
    </row>
    <row r="35" spans="2:24">
      <c r="B35" s="256" t="s">
        <v>248</v>
      </c>
      <c r="C35" s="256" t="s">
        <v>154</v>
      </c>
      <c r="D35" s="274" t="s">
        <v>233</v>
      </c>
      <c r="E35" s="258">
        <v>15</v>
      </c>
      <c r="F35" s="257">
        <v>1</v>
      </c>
      <c r="G35" s="256" t="s">
        <v>13</v>
      </c>
      <c r="H35" s="257">
        <v>0</v>
      </c>
      <c r="I35" s="260">
        <f t="shared" si="0"/>
        <v>1</v>
      </c>
      <c r="J35" s="272">
        <f t="shared" si="1"/>
        <v>1</v>
      </c>
      <c r="K35" s="273">
        <v>0.87639999999999996</v>
      </c>
      <c r="L35" s="266">
        <f t="shared" si="2"/>
        <v>1</v>
      </c>
      <c r="M35" s="266">
        <f>IF(B35="","",ROUND(SUM(L35*K35),3))</f>
        <v>0.876</v>
      </c>
      <c r="N35" s="266">
        <f t="shared" si="4"/>
        <v>0.87529999999999997</v>
      </c>
      <c r="O35" s="13">
        <f t="shared" si="5"/>
        <v>0</v>
      </c>
      <c r="P35" s="6">
        <f t="shared" si="6"/>
        <v>876.4</v>
      </c>
      <c r="Q35" s="6">
        <f t="shared" si="7"/>
        <v>186.96960000000001</v>
      </c>
      <c r="R35" s="6">
        <f t="shared" si="8"/>
        <v>0.48620000000000002</v>
      </c>
      <c r="S35" s="6">
        <f t="shared" si="9"/>
        <v>7.9819511836418068E-4</v>
      </c>
      <c r="T35" s="14">
        <f t="shared" si="10"/>
        <v>1</v>
      </c>
    </row>
    <row r="36" spans="2:24">
      <c r="B36" s="256" t="s">
        <v>304</v>
      </c>
      <c r="C36" s="256" t="s">
        <v>154</v>
      </c>
      <c r="D36" s="274" t="s">
        <v>227</v>
      </c>
      <c r="E36" s="258">
        <v>15</v>
      </c>
      <c r="F36" s="257">
        <v>1</v>
      </c>
      <c r="G36" s="256" t="s">
        <v>13</v>
      </c>
      <c r="H36" s="257">
        <v>0</v>
      </c>
      <c r="I36" s="260">
        <f t="shared" si="0"/>
        <v>1</v>
      </c>
      <c r="J36" s="272">
        <f t="shared" si="1"/>
        <v>1</v>
      </c>
      <c r="K36" s="273">
        <v>0.87639999999999996</v>
      </c>
      <c r="L36" s="266">
        <f t="shared" si="2"/>
        <v>1</v>
      </c>
      <c r="M36" s="266">
        <f t="shared" si="3"/>
        <v>0.876</v>
      </c>
      <c r="N36" s="266">
        <f t="shared" si="4"/>
        <v>0.87529999999999997</v>
      </c>
      <c r="O36" s="13">
        <f t="shared" si="5"/>
        <v>0</v>
      </c>
      <c r="P36" s="6">
        <f t="shared" si="6"/>
        <v>876.4</v>
      </c>
      <c r="Q36" s="6">
        <f t="shared" si="7"/>
        <v>186.96960000000001</v>
      </c>
      <c r="R36" s="6">
        <f t="shared" si="8"/>
        <v>0.48620000000000002</v>
      </c>
      <c r="S36" s="6">
        <f t="shared" si="9"/>
        <v>7.9819511836418068E-4</v>
      </c>
      <c r="T36" s="14">
        <f t="shared" si="10"/>
        <v>1</v>
      </c>
    </row>
    <row r="37" spans="2:24">
      <c r="B37" s="256"/>
      <c r="C37" s="256"/>
      <c r="D37" s="257" t="s">
        <v>227</v>
      </c>
      <c r="E37" s="258">
        <v>15</v>
      </c>
      <c r="F37" s="257">
        <v>1</v>
      </c>
      <c r="G37" s="256" t="s">
        <v>13</v>
      </c>
      <c r="H37" s="257">
        <v>0</v>
      </c>
      <c r="I37" s="260">
        <f t="shared" si="0"/>
        <v>1</v>
      </c>
      <c r="J37" s="272">
        <f t="shared" si="1"/>
        <v>1</v>
      </c>
      <c r="K37" s="273">
        <v>0.87639999999999996</v>
      </c>
      <c r="L37" s="266">
        <f t="shared" si="2"/>
        <v>1</v>
      </c>
      <c r="M37" s="266" t="str">
        <f t="shared" si="3"/>
        <v/>
      </c>
      <c r="N37" s="266">
        <f t="shared" si="4"/>
        <v>0.87529999999999997</v>
      </c>
      <c r="O37" s="13">
        <f t="shared" si="5"/>
        <v>0</v>
      </c>
      <c r="P37" s="6">
        <f t="shared" si="6"/>
        <v>876.4</v>
      </c>
      <c r="Q37" s="6">
        <f t="shared" si="7"/>
        <v>186.96960000000001</v>
      </c>
      <c r="R37" s="6">
        <f t="shared" si="8"/>
        <v>0.48620000000000002</v>
      </c>
      <c r="S37" s="6">
        <f t="shared" si="9"/>
        <v>7.9819511836418068E-4</v>
      </c>
      <c r="T37" s="14">
        <f t="shared" si="10"/>
        <v>1</v>
      </c>
    </row>
    <row r="38" spans="2:24">
      <c r="B38" s="256"/>
      <c r="C38" s="256"/>
      <c r="D38" s="257" t="s">
        <v>227</v>
      </c>
      <c r="E38" s="258">
        <v>15</v>
      </c>
      <c r="F38" s="257">
        <v>1</v>
      </c>
      <c r="G38" s="256" t="s">
        <v>13</v>
      </c>
      <c r="H38" s="257">
        <v>0</v>
      </c>
      <c r="I38" s="260">
        <f t="shared" si="0"/>
        <v>1</v>
      </c>
      <c r="J38" s="272">
        <f t="shared" si="1"/>
        <v>1</v>
      </c>
      <c r="K38" s="273">
        <v>0.87639999999999996</v>
      </c>
      <c r="L38" s="266">
        <f t="shared" si="2"/>
        <v>1</v>
      </c>
      <c r="M38" s="266" t="str">
        <f t="shared" si="3"/>
        <v/>
      </c>
      <c r="N38" s="266">
        <f t="shared" si="4"/>
        <v>0.87529999999999997</v>
      </c>
      <c r="O38" s="13">
        <f t="shared" si="5"/>
        <v>0</v>
      </c>
      <c r="P38" s="6">
        <f t="shared" si="6"/>
        <v>876.4</v>
      </c>
      <c r="Q38" s="6">
        <f t="shared" si="7"/>
        <v>186.96960000000001</v>
      </c>
      <c r="R38" s="6">
        <f t="shared" si="8"/>
        <v>0.48620000000000002</v>
      </c>
      <c r="S38" s="6">
        <f t="shared" si="9"/>
        <v>7.9819511836418068E-4</v>
      </c>
      <c r="T38" s="14">
        <f t="shared" si="10"/>
        <v>1</v>
      </c>
    </row>
    <row r="39" spans="2:24">
      <c r="B39" s="256"/>
      <c r="C39" s="256"/>
      <c r="D39" s="257" t="s">
        <v>227</v>
      </c>
      <c r="E39" s="258">
        <v>15</v>
      </c>
      <c r="F39" s="257">
        <v>1</v>
      </c>
      <c r="G39" s="256" t="s">
        <v>13</v>
      </c>
      <c r="H39" s="257">
        <v>0</v>
      </c>
      <c r="I39" s="260">
        <f t="shared" si="0"/>
        <v>1</v>
      </c>
      <c r="J39" s="272">
        <f t="shared" si="1"/>
        <v>1</v>
      </c>
      <c r="K39" s="273">
        <v>0.87639999999999996</v>
      </c>
      <c r="L39" s="266">
        <f t="shared" si="2"/>
        <v>1</v>
      </c>
      <c r="M39" s="266" t="str">
        <f t="shared" si="3"/>
        <v/>
      </c>
      <c r="N39" s="266">
        <f t="shared" si="4"/>
        <v>0.87529999999999997</v>
      </c>
      <c r="O39" s="13">
        <f t="shared" si="5"/>
        <v>0</v>
      </c>
      <c r="P39" s="6">
        <f t="shared" si="6"/>
        <v>876.4</v>
      </c>
      <c r="Q39" s="6">
        <f t="shared" si="7"/>
        <v>186.96960000000001</v>
      </c>
      <c r="R39" s="6">
        <f t="shared" si="8"/>
        <v>0.48620000000000002</v>
      </c>
      <c r="S39" s="6">
        <f t="shared" si="9"/>
        <v>7.9819511836418068E-4</v>
      </c>
      <c r="T39" s="14">
        <f t="shared" si="10"/>
        <v>1</v>
      </c>
    </row>
    <row r="40" spans="2:24">
      <c r="B40" s="256"/>
      <c r="C40" s="256"/>
      <c r="D40" s="257">
        <v>1</v>
      </c>
      <c r="E40" s="258">
        <v>15</v>
      </c>
      <c r="F40" s="257">
        <v>1</v>
      </c>
      <c r="G40" s="256" t="s">
        <v>13</v>
      </c>
      <c r="H40" s="257">
        <v>0</v>
      </c>
      <c r="I40" s="260">
        <f t="shared" si="0"/>
        <v>1</v>
      </c>
      <c r="J40" s="272">
        <f t="shared" si="1"/>
        <v>1</v>
      </c>
      <c r="K40" s="261">
        <v>1</v>
      </c>
      <c r="L40" s="266">
        <f t="shared" si="2"/>
        <v>1</v>
      </c>
      <c r="M40" s="266" t="str">
        <f t="shared" si="3"/>
        <v/>
      </c>
      <c r="N40" s="266">
        <f t="shared" si="4"/>
        <v>0.99890000000000001</v>
      </c>
      <c r="O40" s="13">
        <f t="shared" si="5"/>
        <v>0</v>
      </c>
      <c r="P40" s="6">
        <f t="shared" si="6"/>
        <v>1000</v>
      </c>
      <c r="Q40" s="6">
        <f t="shared" si="7"/>
        <v>186.96960000000001</v>
      </c>
      <c r="R40" s="6">
        <f t="shared" si="8"/>
        <v>0.48620000000000002</v>
      </c>
      <c r="S40" s="6">
        <f t="shared" si="9"/>
        <v>6.7316960000000003E-4</v>
      </c>
      <c r="T40" s="14">
        <f t="shared" si="10"/>
        <v>1</v>
      </c>
    </row>
    <row r="41" spans="2:24">
      <c r="B41" s="256"/>
      <c r="C41" s="256"/>
      <c r="D41" s="257">
        <v>1</v>
      </c>
      <c r="E41" s="258">
        <v>15</v>
      </c>
      <c r="F41" s="257">
        <v>1</v>
      </c>
      <c r="G41" s="256" t="s">
        <v>13</v>
      </c>
      <c r="H41" s="257">
        <v>0</v>
      </c>
      <c r="I41" s="260">
        <f t="shared" si="0"/>
        <v>1</v>
      </c>
      <c r="J41" s="272">
        <f t="shared" si="1"/>
        <v>1</v>
      </c>
      <c r="K41" s="261">
        <v>1</v>
      </c>
      <c r="L41" s="266">
        <f t="shared" si="2"/>
        <v>1</v>
      </c>
      <c r="M41" s="266" t="str">
        <f t="shared" si="3"/>
        <v/>
      </c>
      <c r="N41" s="266">
        <f t="shared" si="4"/>
        <v>0.99890000000000001</v>
      </c>
      <c r="O41" s="13">
        <f t="shared" si="5"/>
        <v>0</v>
      </c>
      <c r="P41" s="6">
        <f t="shared" si="6"/>
        <v>1000</v>
      </c>
      <c r="Q41" s="6">
        <f t="shared" si="7"/>
        <v>186.96960000000001</v>
      </c>
      <c r="R41" s="6">
        <f t="shared" si="8"/>
        <v>0.48620000000000002</v>
      </c>
      <c r="S41" s="6">
        <f t="shared" si="9"/>
        <v>6.7316960000000003E-4</v>
      </c>
      <c r="T41" s="14">
        <f t="shared" si="10"/>
        <v>1</v>
      </c>
    </row>
    <row r="42" spans="2:24">
      <c r="B42" s="256"/>
      <c r="C42" s="256"/>
      <c r="D42" s="257">
        <v>1</v>
      </c>
      <c r="E42" s="258">
        <v>15</v>
      </c>
      <c r="F42" s="257">
        <v>1</v>
      </c>
      <c r="G42" s="256" t="s">
        <v>13</v>
      </c>
      <c r="H42" s="257">
        <v>0</v>
      </c>
      <c r="I42" s="260">
        <f t="shared" si="0"/>
        <v>1</v>
      </c>
      <c r="J42" s="272">
        <f t="shared" si="1"/>
        <v>1</v>
      </c>
      <c r="K42" s="261">
        <v>1</v>
      </c>
      <c r="L42" s="266">
        <f t="shared" si="2"/>
        <v>1</v>
      </c>
      <c r="M42" s="266" t="str">
        <f t="shared" si="3"/>
        <v/>
      </c>
      <c r="N42" s="266">
        <f t="shared" si="4"/>
        <v>0.99890000000000001</v>
      </c>
      <c r="O42" s="13">
        <f t="shared" si="5"/>
        <v>0</v>
      </c>
      <c r="P42" s="6">
        <f t="shared" si="6"/>
        <v>1000</v>
      </c>
      <c r="Q42" s="6">
        <f t="shared" si="7"/>
        <v>186.96960000000001</v>
      </c>
      <c r="R42" s="6">
        <f t="shared" si="8"/>
        <v>0.48620000000000002</v>
      </c>
      <c r="S42" s="6">
        <f t="shared" si="9"/>
        <v>6.7316960000000003E-4</v>
      </c>
      <c r="T42" s="14">
        <f t="shared" si="10"/>
        <v>1</v>
      </c>
    </row>
    <row r="43" spans="2:24">
      <c r="B43" s="386" t="s">
        <v>161</v>
      </c>
      <c r="C43" s="386"/>
      <c r="D43" s="386"/>
      <c r="E43" s="386"/>
      <c r="F43" s="386"/>
      <c r="G43" s="386"/>
      <c r="H43" s="386"/>
      <c r="I43" s="267">
        <f>SUMIF($C$15:$C$42,"R HS",$I$15:$I$42)</f>
        <v>120</v>
      </c>
      <c r="J43" s="143"/>
      <c r="K43" s="143"/>
      <c r="L43" s="267">
        <f>SUMIF($C$15:$C$42,"R HS",$L$15:$L$42)</f>
        <v>120</v>
      </c>
      <c r="M43" s="267">
        <f ca="1">SUMIF($C$15:$C$44,"R HS",$M$15:$M$42)</f>
        <v>114.91200000000001</v>
      </c>
      <c r="N43" s="267">
        <f>SUMIF($C$15:$C$42,"R HS",$N$15:$N$42)</f>
        <v>114.77999999999997</v>
      </c>
      <c r="O43" s="15">
        <f>SUM(O15:O42)</f>
        <v>0</v>
      </c>
    </row>
    <row r="44" spans="2:24">
      <c r="B44" s="386" t="s">
        <v>114</v>
      </c>
      <c r="C44" s="386"/>
      <c r="D44" s="386"/>
      <c r="E44" s="386"/>
      <c r="F44" s="386"/>
      <c r="G44" s="386"/>
      <c r="H44" s="386"/>
      <c r="I44" s="267">
        <f>SUMIF($C$15:$C$42,"R VLS",$I$15:$I$42)</f>
        <v>600</v>
      </c>
      <c r="J44" s="143"/>
      <c r="K44" s="143"/>
      <c r="L44" s="267">
        <f>SUMIF($C$15:$C$42,"R VLS",$L$15:$L$42)</f>
        <v>600</v>
      </c>
      <c r="M44" s="267">
        <f ca="1">SUMIF($C$15:$C$44,"R VLS",$M$15:$M$42)</f>
        <v>582.34</v>
      </c>
      <c r="N44" s="267">
        <f>SUMIF($C$15:$C$42,"R VLS",$N$15:$N$42)</f>
        <v>581.67999999999995</v>
      </c>
      <c r="O44" s="15"/>
    </row>
    <row r="45" spans="2:24">
      <c r="B45" s="386" t="s">
        <v>306</v>
      </c>
      <c r="C45" s="386"/>
      <c r="D45" s="386"/>
      <c r="E45" s="386"/>
      <c r="F45" s="386"/>
      <c r="G45" s="386"/>
      <c r="H45" s="386"/>
      <c r="I45" s="267">
        <f>SUMIF($C$15:$C$42,"DIST",$I$15:$I$42)</f>
        <v>4</v>
      </c>
      <c r="J45" s="143"/>
      <c r="K45" s="143"/>
      <c r="L45" s="267">
        <f>SUMIF($C$15:$C$42,"DIST",$L$15:$L$42)</f>
        <v>4</v>
      </c>
      <c r="M45" s="267">
        <f>SUMIF($C$15:$C$42,"DIST",$M$15:$M$42)</f>
        <v>3.508</v>
      </c>
      <c r="N45" s="267">
        <f>SUMIF($C$15:$C$42,"DIST",$N$15:$N$42)</f>
        <v>3.5045000000000002</v>
      </c>
      <c r="O45" s="15"/>
    </row>
    <row r="46" spans="2:24">
      <c r="B46" s="27"/>
      <c r="C46" s="27"/>
      <c r="D46" s="27"/>
      <c r="E46" s="27"/>
      <c r="F46" s="27"/>
      <c r="G46" s="27"/>
      <c r="H46" s="27"/>
      <c r="I46" s="36"/>
      <c r="L46" s="37"/>
      <c r="M46" s="30"/>
      <c r="N46" s="30"/>
      <c r="O46" s="12"/>
      <c r="X46" s="6" t="s">
        <v>67</v>
      </c>
    </row>
    <row r="47" spans="2:24">
      <c r="B47" s="27"/>
      <c r="C47" s="27"/>
      <c r="D47" s="27"/>
      <c r="E47" s="27"/>
      <c r="F47" s="27"/>
      <c r="G47" s="27"/>
      <c r="H47" s="27"/>
      <c r="I47" s="36"/>
      <c r="J47" s="21"/>
      <c r="K47" s="172" t="s">
        <v>162</v>
      </c>
      <c r="L47" s="172" t="s">
        <v>85</v>
      </c>
      <c r="M47" s="172" t="s">
        <v>86</v>
      </c>
      <c r="N47" s="172" t="s">
        <v>46</v>
      </c>
      <c r="O47" s="12"/>
    </row>
    <row r="48" spans="2:24">
      <c r="B48" s="27"/>
      <c r="C48" s="27"/>
      <c r="D48" s="27"/>
      <c r="E48" s="27"/>
      <c r="F48" s="27"/>
      <c r="G48" s="27"/>
      <c r="H48" s="27"/>
      <c r="I48" s="36"/>
      <c r="J48" s="173" t="str">
        <f>Summary!B9</f>
        <v>R HS</v>
      </c>
      <c r="K48" s="63">
        <f>'LOG Audit'!J13</f>
        <v>151</v>
      </c>
      <c r="L48" s="63">
        <f>IFERROR(N43,0)</f>
        <v>114.77999999999997</v>
      </c>
      <c r="M48" s="63">
        <f>L48-K48</f>
        <v>-36.220000000000027</v>
      </c>
      <c r="N48" s="63">
        <f>IFERROR(M48/K48*100,0)</f>
        <v>-23.986754966887435</v>
      </c>
      <c r="O48" s="12"/>
    </row>
    <row r="49" spans="2:20">
      <c r="B49" s="27"/>
      <c r="C49" s="27"/>
      <c r="D49" s="27"/>
      <c r="E49" s="27"/>
      <c r="F49" s="27"/>
      <c r="G49" s="27"/>
      <c r="H49" s="27"/>
      <c r="I49" s="36"/>
      <c r="J49" s="172" t="s">
        <v>113</v>
      </c>
      <c r="K49" s="63">
        <f>'LOG Audit'!J14</f>
        <v>161</v>
      </c>
      <c r="L49" s="63">
        <f>IFERROR(N44,0)</f>
        <v>581.67999999999995</v>
      </c>
      <c r="M49" s="63">
        <f>L49-K49</f>
        <v>420.67999999999995</v>
      </c>
      <c r="N49" s="63">
        <f>IFERROR(M49/K49*100,0)</f>
        <v>261.29192546583846</v>
      </c>
      <c r="O49" s="12"/>
    </row>
    <row r="50" spans="2:20">
      <c r="B50" s="27"/>
      <c r="C50" s="27"/>
      <c r="D50" s="27"/>
      <c r="E50" s="27"/>
      <c r="F50" s="27"/>
      <c r="G50" s="27"/>
      <c r="H50" s="27"/>
      <c r="I50" s="36"/>
      <c r="J50" s="172" t="s">
        <v>154</v>
      </c>
      <c r="K50" s="63">
        <f>'LOG Audit'!J15</f>
        <v>171</v>
      </c>
      <c r="L50" s="63">
        <f>IFERROR(N45,0)</f>
        <v>3.5045000000000002</v>
      </c>
      <c r="M50" s="63">
        <f>L50-K50</f>
        <v>-167.49549999999999</v>
      </c>
      <c r="N50" s="63">
        <f>IFERROR(M50/K50*100,0)</f>
        <v>-97.950584795321632</v>
      </c>
      <c r="O50" s="12"/>
    </row>
    <row r="51" spans="2:20">
      <c r="B51" s="5" t="s">
        <v>38</v>
      </c>
      <c r="L51" s="70">
        <f>SUM(L48:L50)</f>
        <v>699.96449999999993</v>
      </c>
      <c r="O51" s="12"/>
    </row>
    <row r="52" spans="2:20">
      <c r="B52" s="251" t="s">
        <v>151</v>
      </c>
      <c r="C52" s="250">
        <v>10</v>
      </c>
      <c r="D52" s="251" t="s">
        <v>51</v>
      </c>
      <c r="E52" s="268" t="s">
        <v>2</v>
      </c>
      <c r="F52" s="250">
        <v>11.25</v>
      </c>
      <c r="G52" s="252" t="s">
        <v>51</v>
      </c>
      <c r="H52" s="252" t="s">
        <v>3</v>
      </c>
      <c r="I52" s="253" t="s">
        <v>18</v>
      </c>
      <c r="J52" s="254" t="s">
        <v>16</v>
      </c>
      <c r="K52" s="252"/>
      <c r="L52" s="255" t="s">
        <v>0</v>
      </c>
      <c r="M52" s="386" t="s">
        <v>10</v>
      </c>
      <c r="N52" s="386"/>
      <c r="O52" s="12"/>
    </row>
    <row r="53" spans="2:20" ht="13.95" customHeight="1">
      <c r="B53" s="385" t="s">
        <v>21</v>
      </c>
      <c r="C53" s="389" t="s">
        <v>4</v>
      </c>
      <c r="D53" s="392" t="s">
        <v>342</v>
      </c>
      <c r="E53" s="385" t="s">
        <v>22</v>
      </c>
      <c r="F53" s="387" t="s">
        <v>24</v>
      </c>
      <c r="G53" s="397" t="s">
        <v>7</v>
      </c>
      <c r="H53" s="397"/>
      <c r="I53" s="387" t="s">
        <v>23</v>
      </c>
      <c r="J53" s="387" t="s">
        <v>25</v>
      </c>
      <c r="K53" s="387" t="s">
        <v>26</v>
      </c>
      <c r="L53" s="387" t="s">
        <v>27</v>
      </c>
      <c r="M53" s="385" t="s">
        <v>19</v>
      </c>
      <c r="N53" s="385" t="s">
        <v>20</v>
      </c>
      <c r="O53" s="12"/>
    </row>
    <row r="54" spans="2:20">
      <c r="B54" s="385"/>
      <c r="C54" s="390"/>
      <c r="D54" s="393"/>
      <c r="E54" s="385"/>
      <c r="F54" s="387"/>
      <c r="G54" s="385" t="s">
        <v>8</v>
      </c>
      <c r="H54" s="385" t="s">
        <v>6</v>
      </c>
      <c r="I54" s="387"/>
      <c r="J54" s="387"/>
      <c r="K54" s="387"/>
      <c r="L54" s="387"/>
      <c r="M54" s="385"/>
      <c r="N54" s="385"/>
      <c r="O54" s="12"/>
    </row>
    <row r="55" spans="2:20">
      <c r="B55" s="385"/>
      <c r="C55" s="391"/>
      <c r="D55" s="394"/>
      <c r="E55" s="385"/>
      <c r="F55" s="387"/>
      <c r="G55" s="385"/>
      <c r="H55" s="385"/>
      <c r="I55" s="387"/>
      <c r="J55" s="387"/>
      <c r="K55" s="387"/>
      <c r="L55" s="387"/>
      <c r="M55" s="385"/>
      <c r="N55" s="385"/>
      <c r="O55" s="12"/>
    </row>
    <row r="56" spans="2:20">
      <c r="B56" s="256" t="str">
        <f t="shared" ref="B56:E67" si="11">B15</f>
        <v>HFO 1P</v>
      </c>
      <c r="C56" s="256" t="str">
        <f t="shared" si="11"/>
        <v>R HS</v>
      </c>
      <c r="D56" s="257">
        <f t="shared" si="11"/>
        <v>1</v>
      </c>
      <c r="E56" s="258">
        <f t="shared" si="11"/>
        <v>15</v>
      </c>
      <c r="F56" s="257">
        <v>10</v>
      </c>
      <c r="G56" s="259" t="s">
        <v>13</v>
      </c>
      <c r="H56" s="257">
        <v>0</v>
      </c>
      <c r="I56" s="260">
        <f t="shared" ref="I56:I83" si="12">IF(F56="","",F56-H56)</f>
        <v>10</v>
      </c>
      <c r="J56" s="261">
        <f t="shared" ref="J56:J83" si="13">IF(F56="","",T56)</f>
        <v>1</v>
      </c>
      <c r="K56" s="261">
        <f t="shared" ref="K56:K83" si="14">K15</f>
        <v>0.95589999999999997</v>
      </c>
      <c r="L56" s="262">
        <f t="shared" ref="L56:L83" si="15">IF(F56="","",I56*J56)</f>
        <v>10</v>
      </c>
      <c r="M56" s="262">
        <f t="shared" ref="M56:M83" si="16">IF(B56="","",ROUND(SUM(L56*K56),3))</f>
        <v>9.5589999999999993</v>
      </c>
      <c r="N56" s="262">
        <f t="shared" ref="N56:N83" si="17">IFERROR((K56-0.0011)*L56,0)</f>
        <v>9.548</v>
      </c>
      <c r="O56" s="13">
        <f t="shared" ref="O56:O59" si="18">E56-15</f>
        <v>0</v>
      </c>
      <c r="P56" s="6">
        <f t="shared" ref="P56:P59" si="19">K56*1000</f>
        <v>955.9</v>
      </c>
      <c r="Q56" s="6">
        <f t="shared" ref="Q56:Q59" si="20">IF(K56&gt;0.8385,186.9696,IF(K56&gt;0.7875,594.5418,IF(K56&gt;0.77,2680.3206,346.4228)))</f>
        <v>186.96960000000001</v>
      </c>
      <c r="R56" s="6">
        <f t="shared" ref="R56:R59" si="21">IF(K56&gt;0.8385,0.4862,IF(K56&gt;0.7875,0,IF(K56&gt;0.77,-0.00336312,0.4388)))</f>
        <v>0.48620000000000002</v>
      </c>
      <c r="S56" s="6">
        <f t="shared" ref="S56:S59" si="22">IF(OR(K56&gt;0.7876,K56=0.7876),(Q56/P56^2)+(R56/P56),IF(OR(K56&gt;0.7701,K56=0.7701),(Q56/P56^2)+R56,(Q56/P56^2)+(R56/P56)))</f>
        <v>7.1324966540712838E-4</v>
      </c>
      <c r="T56" s="14">
        <f t="shared" ref="T56:T67" si="23">ROUND(EXP(-S56*O56*(1+0.8*S56*O56)),4)</f>
        <v>1</v>
      </c>
    </row>
    <row r="57" spans="2:20">
      <c r="B57" s="256" t="str">
        <f t="shared" si="11"/>
        <v>HFO 1S</v>
      </c>
      <c r="C57" s="256" t="str">
        <f t="shared" si="11"/>
        <v>R HS</v>
      </c>
      <c r="D57" s="257">
        <f t="shared" si="11"/>
        <v>1</v>
      </c>
      <c r="E57" s="258">
        <f t="shared" si="11"/>
        <v>15</v>
      </c>
      <c r="F57" s="257">
        <v>10</v>
      </c>
      <c r="G57" s="259" t="s">
        <v>13</v>
      </c>
      <c r="H57" s="257">
        <v>0</v>
      </c>
      <c r="I57" s="260">
        <f t="shared" si="12"/>
        <v>10</v>
      </c>
      <c r="J57" s="261">
        <f t="shared" si="13"/>
        <v>1</v>
      </c>
      <c r="K57" s="261">
        <f t="shared" si="14"/>
        <v>0.95589999999999997</v>
      </c>
      <c r="L57" s="262">
        <f t="shared" si="15"/>
        <v>10</v>
      </c>
      <c r="M57" s="262">
        <f t="shared" si="16"/>
        <v>9.5589999999999993</v>
      </c>
      <c r="N57" s="262">
        <f t="shared" si="17"/>
        <v>9.548</v>
      </c>
      <c r="O57" s="13">
        <f>E57-15</f>
        <v>0</v>
      </c>
      <c r="P57" s="6">
        <f>K57*1000</f>
        <v>955.9</v>
      </c>
      <c r="Q57" s="6">
        <f>IF(K57&gt;0.8385,186.9696,IF(K57&gt;0.7875,594.5418,IF(K57&gt;0.77,2680.3206,346.4228)))</f>
        <v>186.96960000000001</v>
      </c>
      <c r="R57" s="6">
        <f>IF(K57&gt;0.8385,0.4862,IF(K57&gt;0.7875,0,IF(K57&gt;0.77,-0.00336312,0.4388)))</f>
        <v>0.48620000000000002</v>
      </c>
      <c r="S57" s="6">
        <f>IF(OR(K57&gt;0.7876,K57=0.7876),(Q57/P57^2)+(R57/P57),IF(OR(K57&gt;0.7701,K57=0.7701),(Q57/P57^2)+R57,(Q57/P57^2)+(R57/P57)))</f>
        <v>7.1324966540712838E-4</v>
      </c>
      <c r="T57" s="14">
        <f t="shared" si="23"/>
        <v>1</v>
      </c>
    </row>
    <row r="58" spans="2:20">
      <c r="B58" s="256" t="str">
        <f t="shared" si="11"/>
        <v>HFO 2P</v>
      </c>
      <c r="C58" s="256" t="str">
        <f t="shared" si="11"/>
        <v>R HS</v>
      </c>
      <c r="D58" s="257">
        <f t="shared" si="11"/>
        <v>1</v>
      </c>
      <c r="E58" s="258">
        <f t="shared" si="11"/>
        <v>15</v>
      </c>
      <c r="F58" s="257">
        <v>10</v>
      </c>
      <c r="G58" s="259" t="s">
        <v>13</v>
      </c>
      <c r="H58" s="257">
        <v>0</v>
      </c>
      <c r="I58" s="260">
        <f t="shared" si="12"/>
        <v>10</v>
      </c>
      <c r="J58" s="261">
        <f t="shared" si="13"/>
        <v>1</v>
      </c>
      <c r="K58" s="261">
        <f t="shared" si="14"/>
        <v>0.95589999999999997</v>
      </c>
      <c r="L58" s="262">
        <f t="shared" si="15"/>
        <v>10</v>
      </c>
      <c r="M58" s="262">
        <f t="shared" si="16"/>
        <v>9.5589999999999993</v>
      </c>
      <c r="N58" s="262">
        <f t="shared" si="17"/>
        <v>9.548</v>
      </c>
      <c r="O58" s="13">
        <f>E58-15</f>
        <v>0</v>
      </c>
      <c r="P58" s="6">
        <f>K58*1000</f>
        <v>955.9</v>
      </c>
      <c r="Q58" s="6">
        <f>IF(K58&gt;0.8385,186.9696,IF(K58&gt;0.7875,594.5418,IF(K58&gt;0.77,2680.3206,346.4228)))</f>
        <v>186.96960000000001</v>
      </c>
      <c r="R58" s="6">
        <f>IF(K58&gt;0.8385,0.4862,IF(K58&gt;0.7875,0,IF(K58&gt;0.77,-0.00336312,0.4388)))</f>
        <v>0.48620000000000002</v>
      </c>
      <c r="S58" s="6">
        <f>IF(OR(K58&gt;0.7876,K58=0.7876),(Q58/P58^2)+(R58/P58),IF(OR(K58&gt;0.7701,K58=0.7701),(Q58/P58^2)+R58,(Q58/P58^2)+(R58/P58)))</f>
        <v>7.1324966540712838E-4</v>
      </c>
      <c r="T58" s="14">
        <f t="shared" si="23"/>
        <v>1</v>
      </c>
    </row>
    <row r="59" spans="2:20">
      <c r="B59" s="256" t="str">
        <f t="shared" si="11"/>
        <v>HFO 2S</v>
      </c>
      <c r="C59" s="256" t="str">
        <f t="shared" si="11"/>
        <v>R HS</v>
      </c>
      <c r="D59" s="257">
        <f t="shared" si="11"/>
        <v>1</v>
      </c>
      <c r="E59" s="258">
        <f t="shared" si="11"/>
        <v>15</v>
      </c>
      <c r="F59" s="257">
        <v>10</v>
      </c>
      <c r="G59" s="259" t="s">
        <v>13</v>
      </c>
      <c r="H59" s="257">
        <v>0</v>
      </c>
      <c r="I59" s="260">
        <f t="shared" si="12"/>
        <v>10</v>
      </c>
      <c r="J59" s="261">
        <f t="shared" si="13"/>
        <v>1</v>
      </c>
      <c r="K59" s="261">
        <f t="shared" si="14"/>
        <v>0.95589999999999997</v>
      </c>
      <c r="L59" s="262">
        <f t="shared" si="15"/>
        <v>10</v>
      </c>
      <c r="M59" s="262">
        <f t="shared" si="16"/>
        <v>9.5589999999999993</v>
      </c>
      <c r="N59" s="262">
        <f t="shared" si="17"/>
        <v>9.548</v>
      </c>
      <c r="O59" s="13">
        <f t="shared" si="18"/>
        <v>0</v>
      </c>
      <c r="P59" s="6">
        <f t="shared" si="19"/>
        <v>955.9</v>
      </c>
      <c r="Q59" s="6">
        <f t="shared" si="20"/>
        <v>186.96960000000001</v>
      </c>
      <c r="R59" s="6">
        <f t="shared" si="21"/>
        <v>0.48620000000000002</v>
      </c>
      <c r="S59" s="6">
        <f t="shared" si="22"/>
        <v>7.1324966540712838E-4</v>
      </c>
      <c r="T59" s="14">
        <f t="shared" si="23"/>
        <v>1</v>
      </c>
    </row>
    <row r="60" spans="2:20">
      <c r="B60" s="256" t="str">
        <f t="shared" si="11"/>
        <v>HFO 3P</v>
      </c>
      <c r="C60" s="256" t="str">
        <f t="shared" si="11"/>
        <v>R HS</v>
      </c>
      <c r="D60" s="257">
        <f t="shared" si="11"/>
        <v>1</v>
      </c>
      <c r="E60" s="258">
        <f t="shared" si="11"/>
        <v>15</v>
      </c>
      <c r="F60" s="257">
        <v>10</v>
      </c>
      <c r="G60" s="256" t="s">
        <v>13</v>
      </c>
      <c r="H60" s="257">
        <v>0</v>
      </c>
      <c r="I60" s="260">
        <f t="shared" si="12"/>
        <v>10</v>
      </c>
      <c r="J60" s="261">
        <f t="shared" si="13"/>
        <v>1</v>
      </c>
      <c r="K60" s="261">
        <f t="shared" si="14"/>
        <v>0.95589999999999997</v>
      </c>
      <c r="L60" s="262">
        <f t="shared" si="15"/>
        <v>10</v>
      </c>
      <c r="M60" s="262">
        <f t="shared" si="16"/>
        <v>9.5589999999999993</v>
      </c>
      <c r="N60" s="262">
        <f t="shared" si="17"/>
        <v>9.548</v>
      </c>
      <c r="O60" s="13">
        <f>E60-15</f>
        <v>0</v>
      </c>
      <c r="P60" s="6">
        <f>K60*1000</f>
        <v>955.9</v>
      </c>
      <c r="Q60" s="6">
        <f>IF(K60&gt;0.8385,186.9696,IF(K60&gt;0.7875,594.5418,IF(K60&gt;0.77,2680.3206,346.4228)))</f>
        <v>186.96960000000001</v>
      </c>
      <c r="R60" s="6">
        <f>IF(K60&gt;0.8385,0.4862,IF(K60&gt;0.7875,0,IF(K60&gt;0.77,-0.00336312,0.4388)))</f>
        <v>0.48620000000000002</v>
      </c>
      <c r="S60" s="6">
        <f>IF(OR(K60&gt;0.7876,K60=0.7876),(Q60/P60^2)+(R60/P60),IF(OR(K60&gt;0.7701,K60=0.7701),(Q60/P60^2)+R60,(Q60/P60^2)+(R60/P60)))</f>
        <v>7.1324966540712838E-4</v>
      </c>
      <c r="T60" s="14">
        <f t="shared" si="23"/>
        <v>1</v>
      </c>
    </row>
    <row r="61" spans="2:20">
      <c r="B61" s="256" t="str">
        <f t="shared" si="11"/>
        <v>HFO 3S</v>
      </c>
      <c r="C61" s="256" t="str">
        <f t="shared" si="11"/>
        <v>R HS</v>
      </c>
      <c r="D61" s="257">
        <f t="shared" si="11"/>
        <v>11.07</v>
      </c>
      <c r="E61" s="258">
        <f t="shared" si="11"/>
        <v>15</v>
      </c>
      <c r="F61" s="257">
        <v>10</v>
      </c>
      <c r="G61" s="256" t="s">
        <v>13</v>
      </c>
      <c r="H61" s="257">
        <v>0</v>
      </c>
      <c r="I61" s="260">
        <f t="shared" si="12"/>
        <v>10</v>
      </c>
      <c r="J61" s="261">
        <f t="shared" si="13"/>
        <v>1</v>
      </c>
      <c r="K61" s="261">
        <f t="shared" si="14"/>
        <v>0.95589999999999997</v>
      </c>
      <c r="L61" s="262">
        <f t="shared" si="15"/>
        <v>10</v>
      </c>
      <c r="M61" s="262">
        <f t="shared" si="16"/>
        <v>9.5589999999999993</v>
      </c>
      <c r="N61" s="262">
        <f t="shared" si="17"/>
        <v>9.548</v>
      </c>
      <c r="O61" s="13">
        <f t="shared" ref="O61:O83" si="24">E61-15</f>
        <v>0</v>
      </c>
      <c r="P61" s="6">
        <f t="shared" ref="P61:P83" si="25">K61*1000</f>
        <v>955.9</v>
      </c>
      <c r="Q61" s="6">
        <f t="shared" ref="Q61:Q83" si="26">IF(K61&gt;0.8385,186.9696,IF(K61&gt;0.7875,594.5418,IF(K61&gt;0.77,2680.3206,346.4228)))</f>
        <v>186.96960000000001</v>
      </c>
      <c r="R61" s="6">
        <f t="shared" ref="R61:R83" si="27">IF(K61&gt;0.8385,0.4862,IF(K61&gt;0.7875,0,IF(K61&gt;0.77,-0.00336312,0.4388)))</f>
        <v>0.48620000000000002</v>
      </c>
      <c r="S61" s="6">
        <f t="shared" ref="S61:S83" si="28">IF(OR(K61&gt;0.7876,K61=0.7876),(Q61/P61^2)+(R61/P61),IF(OR(K61&gt;0.7701,K61=0.7701),(Q61/P61^2)+R61,(Q61/P61^2)+(R61/P61)))</f>
        <v>7.1324966540712838E-4</v>
      </c>
      <c r="T61" s="14">
        <f t="shared" si="23"/>
        <v>1</v>
      </c>
    </row>
    <row r="62" spans="2:20">
      <c r="B62" s="256" t="str">
        <f t="shared" si="11"/>
        <v>HFO 3O</v>
      </c>
      <c r="C62" s="256" t="str">
        <f t="shared" si="11"/>
        <v>R HS</v>
      </c>
      <c r="D62" s="257">
        <f t="shared" si="11"/>
        <v>17.11</v>
      </c>
      <c r="E62" s="258">
        <f t="shared" si="11"/>
        <v>15</v>
      </c>
      <c r="F62" s="257">
        <v>10</v>
      </c>
      <c r="G62" s="256" t="s">
        <v>13</v>
      </c>
      <c r="H62" s="257">
        <v>0</v>
      </c>
      <c r="I62" s="260">
        <f t="shared" si="12"/>
        <v>10</v>
      </c>
      <c r="J62" s="261">
        <f t="shared" si="13"/>
        <v>1</v>
      </c>
      <c r="K62" s="261">
        <f t="shared" si="14"/>
        <v>0.97599999999999998</v>
      </c>
      <c r="L62" s="262">
        <f t="shared" si="15"/>
        <v>10</v>
      </c>
      <c r="M62" s="262">
        <f t="shared" si="16"/>
        <v>9.76</v>
      </c>
      <c r="N62" s="262">
        <f t="shared" si="17"/>
        <v>9.7490000000000006</v>
      </c>
      <c r="O62" s="13">
        <f t="shared" si="24"/>
        <v>0</v>
      </c>
      <c r="P62" s="6">
        <f t="shared" si="25"/>
        <v>976</v>
      </c>
      <c r="Q62" s="6">
        <f t="shared" si="26"/>
        <v>186.96960000000001</v>
      </c>
      <c r="R62" s="6">
        <f t="shared" si="27"/>
        <v>0.48620000000000002</v>
      </c>
      <c r="S62" s="6">
        <f t="shared" si="28"/>
        <v>6.9443361999462503E-4</v>
      </c>
      <c r="T62" s="14">
        <f t="shared" si="23"/>
        <v>1</v>
      </c>
    </row>
    <row r="63" spans="2:20">
      <c r="B63" s="256" t="str">
        <f t="shared" si="11"/>
        <v>HFO 3S</v>
      </c>
      <c r="C63" s="256" t="str">
        <f t="shared" si="11"/>
        <v>R HS</v>
      </c>
      <c r="D63" s="257">
        <f t="shared" si="11"/>
        <v>10.1</v>
      </c>
      <c r="E63" s="258">
        <f t="shared" si="11"/>
        <v>15</v>
      </c>
      <c r="F63" s="257">
        <v>10</v>
      </c>
      <c r="G63" s="256" t="s">
        <v>13</v>
      </c>
      <c r="H63" s="257">
        <v>0</v>
      </c>
      <c r="I63" s="260">
        <f t="shared" si="12"/>
        <v>10</v>
      </c>
      <c r="J63" s="261">
        <f t="shared" si="13"/>
        <v>1</v>
      </c>
      <c r="K63" s="261">
        <f t="shared" si="14"/>
        <v>0.95569999999999999</v>
      </c>
      <c r="L63" s="262">
        <f t="shared" si="15"/>
        <v>10</v>
      </c>
      <c r="M63" s="262">
        <f t="shared" si="16"/>
        <v>9.5570000000000004</v>
      </c>
      <c r="N63" s="262">
        <f t="shared" si="17"/>
        <v>9.5459999999999994</v>
      </c>
      <c r="O63" s="13">
        <f t="shared" si="24"/>
        <v>0</v>
      </c>
      <c r="P63" s="6">
        <f t="shared" si="25"/>
        <v>955.7</v>
      </c>
      <c r="Q63" s="6">
        <f t="shared" si="26"/>
        <v>186.96960000000001</v>
      </c>
      <c r="R63" s="6">
        <f t="shared" si="27"/>
        <v>0.48620000000000002</v>
      </c>
      <c r="S63" s="6">
        <f t="shared" si="28"/>
        <v>7.1344175739032156E-4</v>
      </c>
      <c r="T63" s="14">
        <f t="shared" si="23"/>
        <v>1</v>
      </c>
    </row>
    <row r="64" spans="2:20">
      <c r="B64" s="256" t="str">
        <f t="shared" si="11"/>
        <v>HFO 4P</v>
      </c>
      <c r="C64" s="256" t="str">
        <f t="shared" si="11"/>
        <v>R HS</v>
      </c>
      <c r="D64" s="257" t="str">
        <f t="shared" si="11"/>
        <v>0,18 (S)</v>
      </c>
      <c r="E64" s="258">
        <f t="shared" si="11"/>
        <v>15</v>
      </c>
      <c r="F64" s="257">
        <v>10</v>
      </c>
      <c r="G64" s="256" t="s">
        <v>13</v>
      </c>
      <c r="H64" s="257">
        <v>0</v>
      </c>
      <c r="I64" s="260">
        <f t="shared" si="12"/>
        <v>10</v>
      </c>
      <c r="J64" s="261">
        <f t="shared" si="13"/>
        <v>1</v>
      </c>
      <c r="K64" s="261">
        <f t="shared" si="14"/>
        <v>0.97599999999999998</v>
      </c>
      <c r="L64" s="262">
        <f t="shared" si="15"/>
        <v>10</v>
      </c>
      <c r="M64" s="262">
        <f t="shared" si="16"/>
        <v>9.76</v>
      </c>
      <c r="N64" s="262">
        <f t="shared" si="17"/>
        <v>9.7490000000000006</v>
      </c>
      <c r="O64" s="13">
        <f t="shared" si="24"/>
        <v>0</v>
      </c>
      <c r="P64" s="6">
        <f t="shared" si="25"/>
        <v>976</v>
      </c>
      <c r="Q64" s="6">
        <f t="shared" si="26"/>
        <v>186.96960000000001</v>
      </c>
      <c r="R64" s="6">
        <f t="shared" si="27"/>
        <v>0.48620000000000002</v>
      </c>
      <c r="S64" s="6">
        <f t="shared" si="28"/>
        <v>6.9443361999462503E-4</v>
      </c>
      <c r="T64" s="14">
        <f t="shared" si="23"/>
        <v>1</v>
      </c>
    </row>
    <row r="65" spans="2:20">
      <c r="B65" s="256" t="str">
        <f t="shared" si="11"/>
        <v>HFO 4S</v>
      </c>
      <c r="C65" s="256" t="str">
        <f t="shared" si="11"/>
        <v>R HS</v>
      </c>
      <c r="D65" s="257" t="str">
        <f t="shared" si="11"/>
        <v>0,12 (S)</v>
      </c>
      <c r="E65" s="258">
        <f t="shared" si="11"/>
        <v>15</v>
      </c>
      <c r="F65" s="257">
        <v>10</v>
      </c>
      <c r="G65" s="256" t="s">
        <v>13</v>
      </c>
      <c r="H65" s="257">
        <v>0</v>
      </c>
      <c r="I65" s="260">
        <f t="shared" si="12"/>
        <v>10</v>
      </c>
      <c r="J65" s="261">
        <f t="shared" si="13"/>
        <v>1</v>
      </c>
      <c r="K65" s="261">
        <f t="shared" si="14"/>
        <v>0.93669999999999998</v>
      </c>
      <c r="L65" s="262">
        <f t="shared" si="15"/>
        <v>10</v>
      </c>
      <c r="M65" s="262">
        <f t="shared" si="16"/>
        <v>9.3670000000000009</v>
      </c>
      <c r="N65" s="262">
        <f t="shared" si="17"/>
        <v>9.3559999999999999</v>
      </c>
      <c r="O65" s="13">
        <f t="shared" si="24"/>
        <v>0</v>
      </c>
      <c r="P65" s="6">
        <f t="shared" si="25"/>
        <v>936.69999999999993</v>
      </c>
      <c r="Q65" s="6">
        <f t="shared" si="26"/>
        <v>186.96960000000001</v>
      </c>
      <c r="R65" s="6">
        <f t="shared" si="27"/>
        <v>0.48620000000000002</v>
      </c>
      <c r="S65" s="6">
        <f t="shared" si="28"/>
        <v>7.3214964154202163E-4</v>
      </c>
      <c r="T65" s="14">
        <f t="shared" si="23"/>
        <v>1</v>
      </c>
    </row>
    <row r="66" spans="2:20">
      <c r="B66" s="256" t="str">
        <f t="shared" si="11"/>
        <v>HFO 5P</v>
      </c>
      <c r="C66" s="256" t="str">
        <f t="shared" si="11"/>
        <v>R HS</v>
      </c>
      <c r="D66" s="257" t="str">
        <f t="shared" si="11"/>
        <v>0,22 (S)</v>
      </c>
      <c r="E66" s="258">
        <f t="shared" si="11"/>
        <v>15</v>
      </c>
      <c r="F66" s="257">
        <v>10</v>
      </c>
      <c r="G66" s="256" t="s">
        <v>13</v>
      </c>
      <c r="H66" s="257">
        <v>0</v>
      </c>
      <c r="I66" s="260">
        <f t="shared" si="12"/>
        <v>10</v>
      </c>
      <c r="J66" s="261">
        <f t="shared" si="13"/>
        <v>1</v>
      </c>
      <c r="K66" s="261">
        <f t="shared" si="14"/>
        <v>0.95569999999999999</v>
      </c>
      <c r="L66" s="262">
        <f t="shared" si="15"/>
        <v>10</v>
      </c>
      <c r="M66" s="262">
        <f t="shared" si="16"/>
        <v>9.5570000000000004</v>
      </c>
      <c r="N66" s="262">
        <f t="shared" si="17"/>
        <v>9.5459999999999994</v>
      </c>
      <c r="O66" s="13">
        <f t="shared" si="24"/>
        <v>0</v>
      </c>
      <c r="P66" s="6">
        <f t="shared" si="25"/>
        <v>955.7</v>
      </c>
      <c r="Q66" s="6">
        <f t="shared" si="26"/>
        <v>186.96960000000001</v>
      </c>
      <c r="R66" s="6">
        <f t="shared" si="27"/>
        <v>0.48620000000000002</v>
      </c>
      <c r="S66" s="6">
        <f t="shared" si="28"/>
        <v>7.1344175739032156E-4</v>
      </c>
      <c r="T66" s="14">
        <f t="shared" si="23"/>
        <v>1</v>
      </c>
    </row>
    <row r="67" spans="2:20">
      <c r="B67" s="256" t="str">
        <f t="shared" si="11"/>
        <v>HFO 5S</v>
      </c>
      <c r="C67" s="256" t="str">
        <f t="shared" si="11"/>
        <v>R HS</v>
      </c>
      <c r="D67" s="257" t="str">
        <f t="shared" si="11"/>
        <v>0,10 (S)</v>
      </c>
      <c r="E67" s="258">
        <f t="shared" si="11"/>
        <v>15</v>
      </c>
      <c r="F67" s="257">
        <v>10</v>
      </c>
      <c r="G67" s="256" t="s">
        <v>13</v>
      </c>
      <c r="H67" s="257">
        <v>0</v>
      </c>
      <c r="I67" s="260">
        <f t="shared" si="12"/>
        <v>10</v>
      </c>
      <c r="J67" s="261">
        <f t="shared" si="13"/>
        <v>1</v>
      </c>
      <c r="K67" s="261">
        <f t="shared" si="14"/>
        <v>0.95569999999999999</v>
      </c>
      <c r="L67" s="262">
        <f t="shared" si="15"/>
        <v>10</v>
      </c>
      <c r="M67" s="262">
        <f t="shared" si="16"/>
        <v>9.5570000000000004</v>
      </c>
      <c r="N67" s="262">
        <f t="shared" si="17"/>
        <v>9.5459999999999994</v>
      </c>
      <c r="O67" s="13">
        <f t="shared" si="24"/>
        <v>0</v>
      </c>
      <c r="P67" s="6">
        <f t="shared" si="25"/>
        <v>955.7</v>
      </c>
      <c r="Q67" s="6">
        <f t="shared" si="26"/>
        <v>186.96960000000001</v>
      </c>
      <c r="R67" s="6">
        <f t="shared" si="27"/>
        <v>0.48620000000000002</v>
      </c>
      <c r="S67" s="6">
        <f t="shared" si="28"/>
        <v>7.1344175739032156E-4</v>
      </c>
      <c r="T67" s="14">
        <f t="shared" si="23"/>
        <v>1</v>
      </c>
    </row>
    <row r="68" spans="2:20">
      <c r="B68" s="256" t="str">
        <f t="shared" ref="B68:E70" si="29">B27</f>
        <v>HFO SERV 1</v>
      </c>
      <c r="C68" s="256" t="str">
        <f t="shared" si="29"/>
        <v>R VLS</v>
      </c>
      <c r="D68" s="257">
        <f t="shared" si="29"/>
        <v>9.94</v>
      </c>
      <c r="E68" s="258">
        <f t="shared" si="29"/>
        <v>15</v>
      </c>
      <c r="F68" s="257">
        <v>100</v>
      </c>
      <c r="G68" s="256" t="s">
        <v>13</v>
      </c>
      <c r="H68" s="257">
        <v>0</v>
      </c>
      <c r="I68" s="260">
        <f t="shared" si="12"/>
        <v>100</v>
      </c>
      <c r="J68" s="261">
        <f t="shared" si="13"/>
        <v>1</v>
      </c>
      <c r="K68" s="261">
        <f t="shared" si="14"/>
        <v>0.95569999999999999</v>
      </c>
      <c r="L68" s="262">
        <f t="shared" si="15"/>
        <v>100</v>
      </c>
      <c r="M68" s="262">
        <f t="shared" si="16"/>
        <v>95.57</v>
      </c>
      <c r="N68" s="262">
        <f t="shared" si="17"/>
        <v>95.46</v>
      </c>
      <c r="O68" s="13">
        <f t="shared" si="24"/>
        <v>0</v>
      </c>
      <c r="P68" s="6">
        <f t="shared" si="25"/>
        <v>955.7</v>
      </c>
      <c r="Q68" s="6">
        <f t="shared" si="26"/>
        <v>186.96960000000001</v>
      </c>
      <c r="R68" s="6">
        <f t="shared" si="27"/>
        <v>0.48620000000000002</v>
      </c>
      <c r="S68" s="6">
        <f t="shared" si="28"/>
        <v>7.1344175739032156E-4</v>
      </c>
      <c r="T68" s="14">
        <f t="shared" ref="T68:T83" si="30">ROUND(EXP(-S68*O68*(1+0.8*S68*O68)),4)</f>
        <v>1</v>
      </c>
    </row>
    <row r="69" spans="2:20">
      <c r="B69" s="256" t="str">
        <f t="shared" si="29"/>
        <v>HFO SETT 1</v>
      </c>
      <c r="C69" s="256" t="str">
        <f t="shared" si="29"/>
        <v>R VLS</v>
      </c>
      <c r="D69" s="257" t="str">
        <f t="shared" si="29"/>
        <v>0,03 (S)</v>
      </c>
      <c r="E69" s="258">
        <f t="shared" si="29"/>
        <v>15</v>
      </c>
      <c r="F69" s="257">
        <v>100</v>
      </c>
      <c r="G69" s="256" t="s">
        <v>13</v>
      </c>
      <c r="H69" s="257">
        <v>0</v>
      </c>
      <c r="I69" s="260">
        <f t="shared" si="12"/>
        <v>100</v>
      </c>
      <c r="J69" s="261">
        <f t="shared" si="13"/>
        <v>1</v>
      </c>
      <c r="K69" s="261">
        <f t="shared" si="14"/>
        <v>0.97799999999999998</v>
      </c>
      <c r="L69" s="262">
        <f t="shared" si="15"/>
        <v>100</v>
      </c>
      <c r="M69" s="262">
        <f t="shared" si="16"/>
        <v>97.8</v>
      </c>
      <c r="N69" s="262">
        <f t="shared" si="17"/>
        <v>97.69</v>
      </c>
      <c r="O69" s="13">
        <f t="shared" si="24"/>
        <v>0</v>
      </c>
      <c r="P69" s="6">
        <f t="shared" si="25"/>
        <v>978</v>
      </c>
      <c r="Q69" s="6">
        <f t="shared" si="26"/>
        <v>186.96960000000001</v>
      </c>
      <c r="R69" s="6">
        <f t="shared" si="27"/>
        <v>0.48620000000000002</v>
      </c>
      <c r="S69" s="6">
        <f t="shared" si="28"/>
        <v>6.926129449107356E-4</v>
      </c>
      <c r="T69" s="14">
        <f t="shared" si="30"/>
        <v>1</v>
      </c>
    </row>
    <row r="70" spans="2:20">
      <c r="B70" s="256" t="str">
        <f t="shared" si="29"/>
        <v>HFO SERV 2</v>
      </c>
      <c r="C70" s="256" t="str">
        <f t="shared" si="29"/>
        <v>R VLS</v>
      </c>
      <c r="D70" s="257">
        <f t="shared" si="29"/>
        <v>2.97</v>
      </c>
      <c r="E70" s="258">
        <f t="shared" si="29"/>
        <v>15</v>
      </c>
      <c r="F70" s="257">
        <v>100</v>
      </c>
      <c r="G70" s="256" t="s">
        <v>13</v>
      </c>
      <c r="H70" s="257">
        <v>0</v>
      </c>
      <c r="I70" s="260">
        <f t="shared" si="12"/>
        <v>100</v>
      </c>
      <c r="J70" s="261">
        <f t="shared" si="13"/>
        <v>1</v>
      </c>
      <c r="K70" s="261">
        <f t="shared" si="14"/>
        <v>0.97799999999999998</v>
      </c>
      <c r="L70" s="262">
        <f t="shared" si="15"/>
        <v>100</v>
      </c>
      <c r="M70" s="262">
        <f t="shared" si="16"/>
        <v>97.8</v>
      </c>
      <c r="N70" s="262">
        <f t="shared" si="17"/>
        <v>97.69</v>
      </c>
      <c r="O70" s="13">
        <f t="shared" si="24"/>
        <v>0</v>
      </c>
      <c r="P70" s="6">
        <f t="shared" si="25"/>
        <v>978</v>
      </c>
      <c r="Q70" s="6">
        <f t="shared" si="26"/>
        <v>186.96960000000001</v>
      </c>
      <c r="R70" s="6">
        <f t="shared" si="27"/>
        <v>0.48620000000000002</v>
      </c>
      <c r="S70" s="6">
        <f t="shared" si="28"/>
        <v>6.926129449107356E-4</v>
      </c>
      <c r="T70" s="14">
        <f t="shared" si="30"/>
        <v>1</v>
      </c>
    </row>
    <row r="71" spans="2:20">
      <c r="B71" s="256" t="str">
        <f t="shared" ref="B71:C83" si="31">B30</f>
        <v>HFO SERTT 2</v>
      </c>
      <c r="C71" s="256" t="str">
        <f t="shared" si="31"/>
        <v>R VLS</v>
      </c>
      <c r="D71" s="257">
        <v>2.13</v>
      </c>
      <c r="E71" s="258">
        <f t="shared" ref="E71:E83" si="32">E30</f>
        <v>15</v>
      </c>
      <c r="F71" s="257">
        <v>100</v>
      </c>
      <c r="G71" s="256" t="s">
        <v>13</v>
      </c>
      <c r="H71" s="257">
        <v>0</v>
      </c>
      <c r="I71" s="260">
        <f t="shared" si="12"/>
        <v>100</v>
      </c>
      <c r="J71" s="261">
        <f t="shared" si="13"/>
        <v>1</v>
      </c>
      <c r="K71" s="261">
        <f t="shared" si="14"/>
        <v>0.97799999999999998</v>
      </c>
      <c r="L71" s="262">
        <f t="shared" si="15"/>
        <v>100</v>
      </c>
      <c r="M71" s="262">
        <f t="shared" si="16"/>
        <v>97.8</v>
      </c>
      <c r="N71" s="262">
        <f t="shared" si="17"/>
        <v>97.69</v>
      </c>
      <c r="O71" s="13">
        <f t="shared" si="24"/>
        <v>0</v>
      </c>
      <c r="P71" s="6">
        <f t="shared" si="25"/>
        <v>978</v>
      </c>
      <c r="Q71" s="6">
        <f t="shared" si="26"/>
        <v>186.96960000000001</v>
      </c>
      <c r="R71" s="6">
        <f t="shared" si="27"/>
        <v>0.48620000000000002</v>
      </c>
      <c r="S71" s="6">
        <f t="shared" si="28"/>
        <v>6.926129449107356E-4</v>
      </c>
      <c r="T71" s="14">
        <f t="shared" si="30"/>
        <v>1</v>
      </c>
    </row>
    <row r="72" spans="2:20">
      <c r="B72" s="256" t="str">
        <f t="shared" si="31"/>
        <v>HFO OFLOW</v>
      </c>
      <c r="C72" s="256" t="str">
        <f t="shared" si="31"/>
        <v>R VLS</v>
      </c>
      <c r="D72" s="257">
        <f t="shared" ref="D72:D83" si="33">D31</f>
        <v>3.05</v>
      </c>
      <c r="E72" s="258">
        <f t="shared" si="32"/>
        <v>15</v>
      </c>
      <c r="F72" s="257">
        <v>100</v>
      </c>
      <c r="G72" s="256" t="s">
        <v>13</v>
      </c>
      <c r="H72" s="257">
        <v>0</v>
      </c>
      <c r="I72" s="260">
        <f t="shared" si="12"/>
        <v>100</v>
      </c>
      <c r="J72" s="261">
        <f t="shared" si="13"/>
        <v>1</v>
      </c>
      <c r="K72" s="261">
        <f t="shared" si="14"/>
        <v>0.97799999999999998</v>
      </c>
      <c r="L72" s="262">
        <f t="shared" si="15"/>
        <v>100</v>
      </c>
      <c r="M72" s="262">
        <f t="shared" si="16"/>
        <v>97.8</v>
      </c>
      <c r="N72" s="262">
        <f t="shared" si="17"/>
        <v>97.69</v>
      </c>
      <c r="O72" s="13">
        <f t="shared" si="24"/>
        <v>0</v>
      </c>
      <c r="P72" s="6">
        <f t="shared" si="25"/>
        <v>978</v>
      </c>
      <c r="Q72" s="6">
        <f t="shared" si="26"/>
        <v>186.96960000000001</v>
      </c>
      <c r="R72" s="6">
        <f t="shared" si="27"/>
        <v>0.48620000000000002</v>
      </c>
      <c r="S72" s="6">
        <f t="shared" si="28"/>
        <v>6.926129449107356E-4</v>
      </c>
      <c r="T72" s="14">
        <f t="shared" si="30"/>
        <v>1</v>
      </c>
    </row>
    <row r="73" spans="2:20">
      <c r="B73" s="256" t="str">
        <f t="shared" si="31"/>
        <v>VLSFO 6P</v>
      </c>
      <c r="C73" s="256" t="str">
        <f t="shared" si="31"/>
        <v>R VLS</v>
      </c>
      <c r="D73" s="257">
        <f t="shared" si="33"/>
        <v>2.25</v>
      </c>
      <c r="E73" s="258">
        <f t="shared" si="32"/>
        <v>15</v>
      </c>
      <c r="F73" s="257">
        <v>100</v>
      </c>
      <c r="G73" s="256" t="s">
        <v>13</v>
      </c>
      <c r="H73" s="257">
        <v>0</v>
      </c>
      <c r="I73" s="260">
        <f t="shared" si="12"/>
        <v>100</v>
      </c>
      <c r="J73" s="261">
        <f t="shared" si="13"/>
        <v>1</v>
      </c>
      <c r="K73" s="261">
        <f t="shared" si="14"/>
        <v>0.95569999999999999</v>
      </c>
      <c r="L73" s="262">
        <f t="shared" si="15"/>
        <v>100</v>
      </c>
      <c r="M73" s="262">
        <f t="shared" si="16"/>
        <v>95.57</v>
      </c>
      <c r="N73" s="262">
        <f t="shared" si="17"/>
        <v>95.46</v>
      </c>
      <c r="O73" s="13">
        <f t="shared" si="24"/>
        <v>0</v>
      </c>
      <c r="P73" s="6">
        <f t="shared" si="25"/>
        <v>955.7</v>
      </c>
      <c r="Q73" s="6">
        <f t="shared" si="26"/>
        <v>186.96960000000001</v>
      </c>
      <c r="R73" s="6">
        <f t="shared" si="27"/>
        <v>0.48620000000000002</v>
      </c>
      <c r="S73" s="6">
        <f t="shared" si="28"/>
        <v>7.1344175739032156E-4</v>
      </c>
      <c r="T73" s="14">
        <f t="shared" si="30"/>
        <v>1</v>
      </c>
    </row>
    <row r="74" spans="2:20">
      <c r="B74" s="256" t="str">
        <f t="shared" si="31"/>
        <v>VLSFO 6S</v>
      </c>
      <c r="C74" s="256" t="str">
        <f t="shared" si="31"/>
        <v>DIST</v>
      </c>
      <c r="D74" s="257" t="str">
        <f t="shared" si="33"/>
        <v>4,09 (S)</v>
      </c>
      <c r="E74" s="258">
        <f t="shared" si="32"/>
        <v>15</v>
      </c>
      <c r="F74" s="257">
        <v>1</v>
      </c>
      <c r="G74" s="256" t="s">
        <v>13</v>
      </c>
      <c r="H74" s="257">
        <v>0</v>
      </c>
      <c r="I74" s="260">
        <f t="shared" si="12"/>
        <v>1</v>
      </c>
      <c r="J74" s="261">
        <f t="shared" si="13"/>
        <v>1</v>
      </c>
      <c r="K74" s="261">
        <f t="shared" si="14"/>
        <v>0.86909999999999998</v>
      </c>
      <c r="L74" s="262">
        <f t="shared" si="15"/>
        <v>1</v>
      </c>
      <c r="M74" s="262">
        <f t="shared" si="16"/>
        <v>0.86899999999999999</v>
      </c>
      <c r="N74" s="262">
        <f t="shared" si="17"/>
        <v>0.86799999999999999</v>
      </c>
      <c r="O74" s="13">
        <f t="shared" si="24"/>
        <v>0</v>
      </c>
      <c r="P74" s="6">
        <f t="shared" si="25"/>
        <v>869.1</v>
      </c>
      <c r="Q74" s="6">
        <f t="shared" si="26"/>
        <v>186.96960000000001</v>
      </c>
      <c r="R74" s="6">
        <f t="shared" si="27"/>
        <v>0.48620000000000002</v>
      </c>
      <c r="S74" s="6">
        <f t="shared" si="28"/>
        <v>8.0696137915317319E-4</v>
      </c>
      <c r="T74" s="14">
        <f t="shared" si="30"/>
        <v>1</v>
      </c>
    </row>
    <row r="75" spans="2:20">
      <c r="B75" s="256" t="str">
        <f t="shared" si="31"/>
        <v>VLSFO SERV</v>
      </c>
      <c r="C75" s="256" t="str">
        <f t="shared" si="31"/>
        <v>DIST</v>
      </c>
      <c r="D75" s="257" t="str">
        <f t="shared" si="33"/>
        <v>9,26 (S)</v>
      </c>
      <c r="E75" s="258">
        <f t="shared" si="32"/>
        <v>15</v>
      </c>
      <c r="F75" s="257">
        <v>1</v>
      </c>
      <c r="G75" s="256" t="s">
        <v>13</v>
      </c>
      <c r="H75" s="257">
        <v>0</v>
      </c>
      <c r="I75" s="260">
        <f t="shared" si="12"/>
        <v>1</v>
      </c>
      <c r="J75" s="261">
        <f t="shared" si="13"/>
        <v>1</v>
      </c>
      <c r="K75" s="261">
        <f t="shared" si="14"/>
        <v>0.88700000000000001</v>
      </c>
      <c r="L75" s="262">
        <f t="shared" si="15"/>
        <v>1</v>
      </c>
      <c r="M75" s="262">
        <f t="shared" si="16"/>
        <v>0.88700000000000001</v>
      </c>
      <c r="N75" s="262">
        <f t="shared" si="17"/>
        <v>0.88590000000000002</v>
      </c>
      <c r="O75" s="13">
        <f t="shared" si="24"/>
        <v>0</v>
      </c>
      <c r="P75" s="6">
        <f t="shared" si="25"/>
        <v>887</v>
      </c>
      <c r="Q75" s="6">
        <f t="shared" si="26"/>
        <v>186.96960000000001</v>
      </c>
      <c r="R75" s="6">
        <f t="shared" si="27"/>
        <v>0.48620000000000002</v>
      </c>
      <c r="S75" s="6">
        <f t="shared" si="28"/>
        <v>7.8578210376870463E-4</v>
      </c>
      <c r="T75" s="14">
        <f t="shared" si="30"/>
        <v>1</v>
      </c>
    </row>
    <row r="76" spans="2:20">
      <c r="B76" s="256" t="str">
        <f t="shared" si="31"/>
        <v>VLSFO SERV</v>
      </c>
      <c r="C76" s="256" t="str">
        <f t="shared" si="31"/>
        <v>DIST</v>
      </c>
      <c r="D76" s="257" t="str">
        <f t="shared" si="33"/>
        <v>0,00 (S)</v>
      </c>
      <c r="E76" s="258">
        <f t="shared" si="32"/>
        <v>15</v>
      </c>
      <c r="F76" s="257">
        <v>1</v>
      </c>
      <c r="G76" s="256" t="s">
        <v>13</v>
      </c>
      <c r="H76" s="257">
        <v>0</v>
      </c>
      <c r="I76" s="260">
        <f t="shared" si="12"/>
        <v>1</v>
      </c>
      <c r="J76" s="261">
        <f t="shared" si="13"/>
        <v>1</v>
      </c>
      <c r="K76" s="261">
        <f t="shared" si="14"/>
        <v>0.87639999999999996</v>
      </c>
      <c r="L76" s="262">
        <f t="shared" si="15"/>
        <v>1</v>
      </c>
      <c r="M76" s="262">
        <f t="shared" si="16"/>
        <v>0.876</v>
      </c>
      <c r="N76" s="262">
        <f t="shared" si="17"/>
        <v>0.87529999999999997</v>
      </c>
      <c r="O76" s="13">
        <f t="shared" si="24"/>
        <v>0</v>
      </c>
      <c r="P76" s="6">
        <f t="shared" si="25"/>
        <v>876.4</v>
      </c>
      <c r="Q76" s="6">
        <f t="shared" si="26"/>
        <v>186.96960000000001</v>
      </c>
      <c r="R76" s="6">
        <f t="shared" si="27"/>
        <v>0.48620000000000002</v>
      </c>
      <c r="S76" s="6">
        <f t="shared" si="28"/>
        <v>7.9819511836418068E-4</v>
      </c>
      <c r="T76" s="14">
        <f t="shared" si="30"/>
        <v>1</v>
      </c>
    </row>
    <row r="77" spans="2:20">
      <c r="B77" s="263" t="str">
        <f t="shared" si="31"/>
        <v>MDO P</v>
      </c>
      <c r="C77" s="263" t="str">
        <f t="shared" si="31"/>
        <v>DIST</v>
      </c>
      <c r="D77" s="264" t="str">
        <f t="shared" si="33"/>
        <v>GAUGE</v>
      </c>
      <c r="E77" s="265">
        <f t="shared" si="32"/>
        <v>15</v>
      </c>
      <c r="F77" s="264">
        <v>1</v>
      </c>
      <c r="G77" s="256" t="s">
        <v>13</v>
      </c>
      <c r="H77" s="257">
        <v>0</v>
      </c>
      <c r="I77" s="260">
        <f t="shared" si="12"/>
        <v>1</v>
      </c>
      <c r="J77" s="261">
        <f t="shared" si="13"/>
        <v>1</v>
      </c>
      <c r="K77" s="261">
        <f t="shared" si="14"/>
        <v>0.87639999999999996</v>
      </c>
      <c r="L77" s="262">
        <f t="shared" si="15"/>
        <v>1</v>
      </c>
      <c r="M77" s="262">
        <f t="shared" si="16"/>
        <v>0.876</v>
      </c>
      <c r="N77" s="262">
        <f t="shared" si="17"/>
        <v>0.87529999999999997</v>
      </c>
      <c r="O77" s="13">
        <f t="shared" si="24"/>
        <v>0</v>
      </c>
      <c r="P77" s="6">
        <f t="shared" si="25"/>
        <v>876.4</v>
      </c>
      <c r="Q77" s="6">
        <f t="shared" si="26"/>
        <v>186.96960000000001</v>
      </c>
      <c r="R77" s="6">
        <f t="shared" si="27"/>
        <v>0.48620000000000002</v>
      </c>
      <c r="S77" s="6">
        <f t="shared" si="28"/>
        <v>7.9819511836418068E-4</v>
      </c>
      <c r="T77" s="14">
        <f t="shared" si="30"/>
        <v>1</v>
      </c>
    </row>
    <row r="78" spans="2:20">
      <c r="B78" s="263">
        <f t="shared" si="31"/>
        <v>0</v>
      </c>
      <c r="C78" s="263">
        <f t="shared" si="31"/>
        <v>0</v>
      </c>
      <c r="D78" s="264" t="str">
        <f t="shared" si="33"/>
        <v>GAUGE</v>
      </c>
      <c r="E78" s="265">
        <f t="shared" si="32"/>
        <v>15</v>
      </c>
      <c r="F78" s="264">
        <v>1</v>
      </c>
      <c r="G78" s="256" t="s">
        <v>13</v>
      </c>
      <c r="H78" s="257">
        <v>0</v>
      </c>
      <c r="I78" s="260">
        <f t="shared" si="12"/>
        <v>1</v>
      </c>
      <c r="J78" s="261">
        <f t="shared" si="13"/>
        <v>1</v>
      </c>
      <c r="K78" s="261">
        <f t="shared" si="14"/>
        <v>0.87639999999999996</v>
      </c>
      <c r="L78" s="262">
        <f t="shared" si="15"/>
        <v>1</v>
      </c>
      <c r="M78" s="262">
        <f t="shared" si="16"/>
        <v>0.876</v>
      </c>
      <c r="N78" s="262">
        <f t="shared" si="17"/>
        <v>0.87529999999999997</v>
      </c>
      <c r="O78" s="13">
        <f t="shared" si="24"/>
        <v>0</v>
      </c>
      <c r="P78" s="6">
        <f t="shared" si="25"/>
        <v>876.4</v>
      </c>
      <c r="Q78" s="6">
        <f t="shared" si="26"/>
        <v>186.96960000000001</v>
      </c>
      <c r="R78" s="6">
        <f t="shared" si="27"/>
        <v>0.48620000000000002</v>
      </c>
      <c r="S78" s="6">
        <f t="shared" si="28"/>
        <v>7.9819511836418068E-4</v>
      </c>
      <c r="T78" s="14">
        <f t="shared" si="30"/>
        <v>1</v>
      </c>
    </row>
    <row r="79" spans="2:20">
      <c r="B79" s="263">
        <f t="shared" si="31"/>
        <v>0</v>
      </c>
      <c r="C79" s="263">
        <f t="shared" si="31"/>
        <v>0</v>
      </c>
      <c r="D79" s="264" t="str">
        <f t="shared" si="33"/>
        <v>GAUGE</v>
      </c>
      <c r="E79" s="265">
        <f t="shared" si="32"/>
        <v>15</v>
      </c>
      <c r="F79" s="264">
        <v>1</v>
      </c>
      <c r="G79" s="256" t="s">
        <v>13</v>
      </c>
      <c r="H79" s="257">
        <v>0</v>
      </c>
      <c r="I79" s="260">
        <f t="shared" si="12"/>
        <v>1</v>
      </c>
      <c r="J79" s="261">
        <f t="shared" si="13"/>
        <v>1</v>
      </c>
      <c r="K79" s="261">
        <f t="shared" si="14"/>
        <v>0.87639999999999996</v>
      </c>
      <c r="L79" s="262">
        <f t="shared" si="15"/>
        <v>1</v>
      </c>
      <c r="M79" s="262">
        <f t="shared" si="16"/>
        <v>0.876</v>
      </c>
      <c r="N79" s="262">
        <f t="shared" si="17"/>
        <v>0.87529999999999997</v>
      </c>
      <c r="O79" s="13">
        <f t="shared" si="24"/>
        <v>0</v>
      </c>
      <c r="P79" s="6">
        <f t="shared" si="25"/>
        <v>876.4</v>
      </c>
      <c r="Q79" s="6">
        <f t="shared" si="26"/>
        <v>186.96960000000001</v>
      </c>
      <c r="R79" s="6">
        <f t="shared" si="27"/>
        <v>0.48620000000000002</v>
      </c>
      <c r="S79" s="6">
        <f t="shared" si="28"/>
        <v>7.9819511836418068E-4</v>
      </c>
      <c r="T79" s="14">
        <f t="shared" si="30"/>
        <v>1</v>
      </c>
    </row>
    <row r="80" spans="2:20">
      <c r="B80" s="263">
        <f t="shared" si="31"/>
        <v>0</v>
      </c>
      <c r="C80" s="263">
        <f t="shared" si="31"/>
        <v>0</v>
      </c>
      <c r="D80" s="264" t="str">
        <f t="shared" si="33"/>
        <v>GAUGE</v>
      </c>
      <c r="E80" s="265">
        <f t="shared" si="32"/>
        <v>15</v>
      </c>
      <c r="F80" s="264">
        <v>1</v>
      </c>
      <c r="G80" s="256" t="s">
        <v>13</v>
      </c>
      <c r="H80" s="257">
        <v>0</v>
      </c>
      <c r="I80" s="260">
        <f t="shared" si="12"/>
        <v>1</v>
      </c>
      <c r="J80" s="261">
        <f t="shared" si="13"/>
        <v>1</v>
      </c>
      <c r="K80" s="261">
        <f t="shared" si="14"/>
        <v>0.87639999999999996</v>
      </c>
      <c r="L80" s="266">
        <f t="shared" si="15"/>
        <v>1</v>
      </c>
      <c r="M80" s="266">
        <f t="shared" si="16"/>
        <v>0.876</v>
      </c>
      <c r="N80" s="266">
        <f t="shared" si="17"/>
        <v>0.87529999999999997</v>
      </c>
      <c r="O80" s="13">
        <f t="shared" si="24"/>
        <v>0</v>
      </c>
      <c r="P80" s="6">
        <f t="shared" si="25"/>
        <v>876.4</v>
      </c>
      <c r="Q80" s="6">
        <f t="shared" si="26"/>
        <v>186.96960000000001</v>
      </c>
      <c r="R80" s="6">
        <f t="shared" si="27"/>
        <v>0.48620000000000002</v>
      </c>
      <c r="S80" s="6">
        <f t="shared" si="28"/>
        <v>7.9819511836418068E-4</v>
      </c>
      <c r="T80" s="14">
        <f t="shared" si="30"/>
        <v>1</v>
      </c>
    </row>
    <row r="81" spans="2:20">
      <c r="B81" s="256">
        <f t="shared" si="31"/>
        <v>0</v>
      </c>
      <c r="C81" s="256">
        <f t="shared" si="31"/>
        <v>0</v>
      </c>
      <c r="D81" s="257">
        <f t="shared" si="33"/>
        <v>1</v>
      </c>
      <c r="E81" s="258">
        <f t="shared" si="32"/>
        <v>15</v>
      </c>
      <c r="F81" s="257">
        <v>1</v>
      </c>
      <c r="G81" s="256" t="s">
        <v>13</v>
      </c>
      <c r="H81" s="257">
        <v>0</v>
      </c>
      <c r="I81" s="260">
        <f t="shared" si="12"/>
        <v>1</v>
      </c>
      <c r="J81" s="261">
        <f t="shared" si="13"/>
        <v>1</v>
      </c>
      <c r="K81" s="261">
        <f t="shared" si="14"/>
        <v>1</v>
      </c>
      <c r="L81" s="266">
        <f t="shared" si="15"/>
        <v>1</v>
      </c>
      <c r="M81" s="266">
        <f t="shared" si="16"/>
        <v>1</v>
      </c>
      <c r="N81" s="266">
        <f t="shared" si="17"/>
        <v>0.99890000000000001</v>
      </c>
      <c r="O81" s="13">
        <f t="shared" si="24"/>
        <v>0</v>
      </c>
      <c r="P81" s="6">
        <f t="shared" si="25"/>
        <v>1000</v>
      </c>
      <c r="Q81" s="6">
        <f t="shared" si="26"/>
        <v>186.96960000000001</v>
      </c>
      <c r="R81" s="6">
        <f t="shared" si="27"/>
        <v>0.48620000000000002</v>
      </c>
      <c r="S81" s="6">
        <f t="shared" si="28"/>
        <v>6.7316960000000003E-4</v>
      </c>
      <c r="T81" s="14">
        <f t="shared" si="30"/>
        <v>1</v>
      </c>
    </row>
    <row r="82" spans="2:20">
      <c r="B82" s="256">
        <f t="shared" si="31"/>
        <v>0</v>
      </c>
      <c r="C82" s="256">
        <f t="shared" si="31"/>
        <v>0</v>
      </c>
      <c r="D82" s="257">
        <f t="shared" si="33"/>
        <v>1</v>
      </c>
      <c r="E82" s="258">
        <f t="shared" si="32"/>
        <v>15</v>
      </c>
      <c r="F82" s="257">
        <v>1</v>
      </c>
      <c r="G82" s="256" t="s">
        <v>13</v>
      </c>
      <c r="H82" s="257">
        <v>0</v>
      </c>
      <c r="I82" s="260">
        <f t="shared" si="12"/>
        <v>1</v>
      </c>
      <c r="J82" s="261">
        <f t="shared" si="13"/>
        <v>1</v>
      </c>
      <c r="K82" s="261">
        <f t="shared" si="14"/>
        <v>1</v>
      </c>
      <c r="L82" s="266">
        <f t="shared" si="15"/>
        <v>1</v>
      </c>
      <c r="M82" s="266">
        <f t="shared" si="16"/>
        <v>1</v>
      </c>
      <c r="N82" s="266">
        <f t="shared" si="17"/>
        <v>0.99890000000000001</v>
      </c>
      <c r="O82" s="13">
        <f t="shared" si="24"/>
        <v>0</v>
      </c>
      <c r="P82" s="6">
        <f t="shared" si="25"/>
        <v>1000</v>
      </c>
      <c r="Q82" s="6">
        <f t="shared" si="26"/>
        <v>186.96960000000001</v>
      </c>
      <c r="R82" s="6">
        <f t="shared" si="27"/>
        <v>0.48620000000000002</v>
      </c>
      <c r="S82" s="6">
        <f t="shared" si="28"/>
        <v>6.7316960000000003E-4</v>
      </c>
      <c r="T82" s="14">
        <f t="shared" si="30"/>
        <v>1</v>
      </c>
    </row>
    <row r="83" spans="2:20">
      <c r="B83" s="256">
        <f t="shared" si="31"/>
        <v>0</v>
      </c>
      <c r="C83" s="256">
        <f t="shared" si="31"/>
        <v>0</v>
      </c>
      <c r="D83" s="257">
        <f t="shared" si="33"/>
        <v>1</v>
      </c>
      <c r="E83" s="258">
        <f t="shared" si="32"/>
        <v>15</v>
      </c>
      <c r="F83" s="257">
        <v>1</v>
      </c>
      <c r="G83" s="256" t="s">
        <v>13</v>
      </c>
      <c r="H83" s="257">
        <v>0</v>
      </c>
      <c r="I83" s="260">
        <f t="shared" si="12"/>
        <v>1</v>
      </c>
      <c r="J83" s="261">
        <f t="shared" si="13"/>
        <v>1</v>
      </c>
      <c r="K83" s="261">
        <f t="shared" si="14"/>
        <v>1</v>
      </c>
      <c r="L83" s="266">
        <f t="shared" si="15"/>
        <v>1</v>
      </c>
      <c r="M83" s="266">
        <f t="shared" si="16"/>
        <v>1</v>
      </c>
      <c r="N83" s="266">
        <f t="shared" si="17"/>
        <v>0.99890000000000001</v>
      </c>
      <c r="O83" s="13">
        <f t="shared" si="24"/>
        <v>0</v>
      </c>
      <c r="P83" s="6">
        <f t="shared" si="25"/>
        <v>1000</v>
      </c>
      <c r="Q83" s="6">
        <f t="shared" si="26"/>
        <v>186.96960000000001</v>
      </c>
      <c r="R83" s="6">
        <f t="shared" si="27"/>
        <v>0.48620000000000002</v>
      </c>
      <c r="S83" s="6">
        <f t="shared" si="28"/>
        <v>6.7316960000000003E-4</v>
      </c>
      <c r="T83" s="14">
        <f t="shared" si="30"/>
        <v>1</v>
      </c>
    </row>
    <row r="84" spans="2:20">
      <c r="B84" s="396" t="s">
        <v>161</v>
      </c>
      <c r="C84" s="396"/>
      <c r="D84" s="396"/>
      <c r="E84" s="396"/>
      <c r="F84" s="396"/>
      <c r="G84" s="396"/>
      <c r="H84" s="396"/>
      <c r="I84" s="267">
        <f>SUM(I56:I60)</f>
        <v>50</v>
      </c>
      <c r="J84" s="143"/>
      <c r="K84" s="143"/>
      <c r="L84" s="267">
        <f>SUMIF($C$56:$C$83,"R HS",$L$56:$L$83)</f>
        <v>120</v>
      </c>
      <c r="M84" s="267">
        <f>SUMIF($C$56:$C$83,"R HS",$M$56:$M$83)</f>
        <v>114.91200000000001</v>
      </c>
      <c r="N84" s="267">
        <f>SUMIF($C$56:$C$83,"R HS",$N$56:$N$83)</f>
        <v>114.77999999999997</v>
      </c>
    </row>
    <row r="85" spans="2:20">
      <c r="B85" s="386" t="s">
        <v>114</v>
      </c>
      <c r="C85" s="386"/>
      <c r="D85" s="386"/>
      <c r="E85" s="386"/>
      <c r="F85" s="386"/>
      <c r="G85" s="386"/>
      <c r="H85" s="386"/>
      <c r="I85" s="267">
        <f>SUM(I61:I73)</f>
        <v>670</v>
      </c>
      <c r="J85" s="143"/>
      <c r="K85" s="143"/>
      <c r="L85" s="267">
        <f>SUMIF($C$56:$C$83,"R VLS",$L$56:$L$83)</f>
        <v>600</v>
      </c>
      <c r="M85" s="267">
        <f>SUMIF($C$56:$C$83,"R VLS",$M$56:$M$83)</f>
        <v>582.34</v>
      </c>
      <c r="N85" s="267">
        <f>SUMIF($C$56:$C$83,"R VLS",$N$56:$N$83)</f>
        <v>581.67999999999995</v>
      </c>
    </row>
    <row r="86" spans="2:20">
      <c r="B86" s="396" t="s">
        <v>155</v>
      </c>
      <c r="C86" s="396"/>
      <c r="D86" s="396"/>
      <c r="E86" s="396"/>
      <c r="F86" s="396"/>
      <c r="G86" s="396"/>
      <c r="H86" s="396"/>
      <c r="I86" s="267">
        <f>SUM(I74:I83)</f>
        <v>10</v>
      </c>
      <c r="J86" s="136"/>
      <c r="K86" s="136"/>
      <c r="L86" s="267">
        <f>SUMIF($C$56:$C$83,"DIST",$L$56:$L$83)</f>
        <v>4</v>
      </c>
      <c r="M86" s="267">
        <f>SUMIF($C$56:$C$83,"DIST",$M$56:$M$83)</f>
        <v>3.508</v>
      </c>
      <c r="N86" s="267">
        <f>SUMIF($C$56:$C$83,"DIST",$N$56:$N$83)</f>
        <v>3.5045000000000002</v>
      </c>
    </row>
    <row r="99" spans="2:14">
      <c r="B99" s="68"/>
      <c r="C99" s="68"/>
      <c r="D99" s="68"/>
      <c r="E99" s="68"/>
      <c r="F99" s="68"/>
      <c r="K99" s="68"/>
      <c r="L99" s="68"/>
      <c r="M99" s="68"/>
      <c r="N99" s="68"/>
    </row>
    <row r="100" spans="2:14">
      <c r="B100" s="6" t="s">
        <v>11</v>
      </c>
      <c r="D100" s="6" t="str">
        <f>Summary!B38</f>
        <v>SIBI JESU ANTHONY</v>
      </c>
      <c r="K100" s="6" t="s">
        <v>101</v>
      </c>
      <c r="L100" s="6" t="str">
        <f>Summary!B15</f>
        <v>ARMANDO JUNIOR</v>
      </c>
    </row>
  </sheetData>
  <sheetProtection selectLockedCells="1"/>
  <mergeCells count="39">
    <mergeCell ref="B84:H84"/>
    <mergeCell ref="B85:H85"/>
    <mergeCell ref="L12:L14"/>
    <mergeCell ref="K12:K14"/>
    <mergeCell ref="K53:K55"/>
    <mergeCell ref="I53:I55"/>
    <mergeCell ref="L53:L55"/>
    <mergeCell ref="D53:D55"/>
    <mergeCell ref="C53:C55"/>
    <mergeCell ref="J5:K5"/>
    <mergeCell ref="J6:K6"/>
    <mergeCell ref="B86:H86"/>
    <mergeCell ref="B43:H43"/>
    <mergeCell ref="B12:B14"/>
    <mergeCell ref="E12:E14"/>
    <mergeCell ref="F12:F14"/>
    <mergeCell ref="G13:G14"/>
    <mergeCell ref="G12:H12"/>
    <mergeCell ref="H13:H14"/>
    <mergeCell ref="B53:B55"/>
    <mergeCell ref="E53:E55"/>
    <mergeCell ref="F53:F55"/>
    <mergeCell ref="G53:H53"/>
    <mergeCell ref="B45:H45"/>
    <mergeCell ref="B44:H44"/>
    <mergeCell ref="N12:N14"/>
    <mergeCell ref="M11:N11"/>
    <mergeCell ref="M12:M14"/>
    <mergeCell ref="B8:N8"/>
    <mergeCell ref="I12:I14"/>
    <mergeCell ref="J12:J14"/>
    <mergeCell ref="C12:C14"/>
    <mergeCell ref="D12:D14"/>
    <mergeCell ref="M53:M55"/>
    <mergeCell ref="G54:G55"/>
    <mergeCell ref="H54:H55"/>
    <mergeCell ref="M52:N52"/>
    <mergeCell ref="N53:N55"/>
    <mergeCell ref="J53:J55"/>
  </mergeCells>
  <phoneticPr fontId="0" type="noConversion"/>
  <dataValidations count="1">
    <dataValidation type="list" allowBlank="1" showInputMessage="1" showErrorMessage="1" errorTitle="Opção inválida" error="Selecione uma opção da lista." sqref="C15:C42" xr:uid="{8741928D-23AD-4E5B-A697-E3292F4F3A73}">
      <formula1>"R HS,R VLS,R ULS,DIST"</formula1>
    </dataValidation>
  </dataValidations>
  <pageMargins left="0.31496062992125984" right="0.23622047244094491" top="0.98425196850393704" bottom="0.98425196850393704" header="0.51181102362204722" footer="0.51181102362204722"/>
  <pageSetup paperSize="9" scale="5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654D-4F4D-4A55-AB87-A4EAB40FB675}">
  <sheetPr codeName="Planilha6"/>
  <dimension ref="A1:U57"/>
  <sheetViews>
    <sheetView showGridLines="0" topLeftCell="A7" zoomScaleNormal="100" zoomScaleSheetLayoutView="100" workbookViewId="0">
      <selection activeCell="N24" sqref="N24"/>
    </sheetView>
  </sheetViews>
  <sheetFormatPr defaultColWidth="9.109375" defaultRowHeight="13.8"/>
  <cols>
    <col min="1" max="1" width="1" style="6" customWidth="1"/>
    <col min="2" max="2" width="10.5546875" style="6" customWidth="1"/>
    <col min="3" max="3" width="10.77734375" style="6" customWidth="1"/>
    <col min="4" max="4" width="13.44140625" style="6" customWidth="1"/>
    <col min="5" max="5" width="13.88671875" style="6" customWidth="1"/>
    <col min="6" max="6" width="10.6640625" style="6" bestFit="1" customWidth="1"/>
    <col min="7" max="7" width="11.33203125" style="6" customWidth="1"/>
    <col min="8" max="8" width="11.5546875" style="6" customWidth="1"/>
    <col min="9" max="9" width="2.5546875" style="6" customWidth="1"/>
    <col min="10" max="10" width="10.44140625" style="6" customWidth="1"/>
    <col min="11" max="11" width="7.44140625" style="6" customWidth="1"/>
    <col min="12" max="12" width="10.109375" style="6" customWidth="1"/>
    <col min="13" max="13" width="0.44140625" style="6" customWidth="1"/>
    <col min="14" max="14" width="9.88671875" style="6" customWidth="1"/>
    <col min="15" max="20" width="9.109375" style="6" customWidth="1"/>
    <col min="21" max="21" width="6.5546875" style="6" customWidth="1"/>
    <col min="22" max="16384" width="9.109375" style="6"/>
  </cols>
  <sheetData>
    <row r="1" spans="1:21" ht="51" customHeight="1"/>
    <row r="2" spans="1:21" ht="12.75" customHeight="1">
      <c r="B2" s="5"/>
      <c r="C2" s="5"/>
      <c r="D2" s="5"/>
      <c r="E2" s="5"/>
      <c r="F2" s="5"/>
      <c r="G2" s="5"/>
      <c r="H2" s="9"/>
      <c r="I2" s="9"/>
      <c r="J2" s="9"/>
      <c r="K2" s="9"/>
      <c r="L2" s="9"/>
      <c r="M2" s="9"/>
      <c r="N2" s="9"/>
      <c r="U2" s="11"/>
    </row>
    <row r="3" spans="1:21" ht="12.75" customHeight="1">
      <c r="A3" s="406" t="s">
        <v>115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5"/>
      <c r="N3" s="5"/>
    </row>
    <row r="5" spans="1:21">
      <c r="B5" s="5" t="s">
        <v>83</v>
      </c>
      <c r="D5" s="409" t="str">
        <f>Summary!B7</f>
        <v>MSC SABRINA</v>
      </c>
      <c r="E5" s="409"/>
      <c r="G5" s="40" t="s">
        <v>41</v>
      </c>
      <c r="I5" s="409">
        <f>Summary!B21</f>
        <v>9979022</v>
      </c>
      <c r="J5" s="409"/>
      <c r="K5" s="11" t="s">
        <v>66</v>
      </c>
      <c r="L5" s="6" t="str">
        <f>Summary!B8</f>
        <v>MM623R</v>
      </c>
      <c r="M5" s="10"/>
      <c r="N5" s="10"/>
    </row>
    <row r="6" spans="1:21">
      <c r="B6" s="5" t="s">
        <v>33</v>
      </c>
      <c r="D6" s="6" t="str">
        <f>Summary!B13</f>
        <v>TERMINAL DE CONTAINER DE PARANAGUA</v>
      </c>
      <c r="G6" s="40" t="s">
        <v>170</v>
      </c>
      <c r="H6" s="28">
        <f>'Vessel Ullage'!J5</f>
        <v>46188</v>
      </c>
      <c r="J6" s="218">
        <f>'Time Log'!G7</f>
        <v>0.5</v>
      </c>
      <c r="K6" s="6" t="s">
        <v>316</v>
      </c>
      <c r="M6" s="10"/>
      <c r="N6" s="10"/>
    </row>
    <row r="7" spans="1:21">
      <c r="B7" s="5" t="s">
        <v>34</v>
      </c>
      <c r="D7" s="407" t="str">
        <f>Summary!B14</f>
        <v>PARANAGUA</v>
      </c>
      <c r="E7" s="407"/>
      <c r="G7" s="40" t="s">
        <v>171</v>
      </c>
      <c r="H7" s="28">
        <f>'Time Log'!F14</f>
        <v>46189</v>
      </c>
      <c r="I7" s="18"/>
      <c r="J7" s="62">
        <f>'Time Log'!I14</f>
        <v>4.1666666666666664E-2</v>
      </c>
      <c r="K7" s="18" t="s">
        <v>316</v>
      </c>
      <c r="M7" s="10"/>
      <c r="N7" s="10"/>
    </row>
    <row r="8" spans="1:21">
      <c r="M8" s="10"/>
      <c r="N8" s="10"/>
    </row>
    <row r="9" spans="1:21">
      <c r="J9" s="17"/>
      <c r="K9" s="17"/>
      <c r="L9" s="17"/>
      <c r="M9" s="10"/>
      <c r="N9" s="10"/>
    </row>
    <row r="10" spans="1:21" ht="13.5" customHeight="1">
      <c r="C10" s="79"/>
      <c r="D10" s="41"/>
      <c r="E10" s="79"/>
      <c r="F10" s="28"/>
      <c r="G10" s="28"/>
    </row>
    <row r="11" spans="1:21" ht="27.6">
      <c r="B11" s="401" t="s">
        <v>53</v>
      </c>
      <c r="C11" s="185" t="s">
        <v>311</v>
      </c>
      <c r="D11" s="399" t="s">
        <v>119</v>
      </c>
      <c r="E11" s="185" t="s">
        <v>88</v>
      </c>
      <c r="F11" s="189" t="s">
        <v>312</v>
      </c>
      <c r="G11" s="186" t="s">
        <v>52</v>
      </c>
      <c r="H11" s="399" t="s">
        <v>313</v>
      </c>
      <c r="J11" s="403" t="s">
        <v>310</v>
      </c>
      <c r="K11" s="404"/>
    </row>
    <row r="12" spans="1:21">
      <c r="B12" s="402"/>
      <c r="C12" s="187">
        <f>Sludge!D27</f>
        <v>46157</v>
      </c>
      <c r="D12" s="400"/>
      <c r="E12" s="187">
        <v>46249</v>
      </c>
      <c r="F12" s="190"/>
      <c r="G12" s="188"/>
      <c r="H12" s="400"/>
      <c r="J12" s="191">
        <f>Summary!B18</f>
        <v>46249</v>
      </c>
      <c r="K12" s="192">
        <f>Summary!B19</f>
        <v>0.83333333333333337</v>
      </c>
    </row>
    <row r="13" spans="1:21">
      <c r="B13" s="172" t="str">
        <f>Summary!B9</f>
        <v>R HS</v>
      </c>
      <c r="C13" s="183">
        <v>150</v>
      </c>
      <c r="D13" s="183">
        <v>10</v>
      </c>
      <c r="E13" s="183">
        <v>120</v>
      </c>
      <c r="F13" s="184">
        <v>0</v>
      </c>
      <c r="G13" s="184">
        <v>0</v>
      </c>
      <c r="H13" s="183">
        <f>(C13+D13)-E13</f>
        <v>40</v>
      </c>
      <c r="J13" s="405">
        <v>151</v>
      </c>
      <c r="K13" s="405"/>
      <c r="L13" s="77"/>
    </row>
    <row r="14" spans="1:21">
      <c r="B14" s="172" t="str">
        <f>Summary!B10</f>
        <v>R VLS</v>
      </c>
      <c r="C14" s="81">
        <v>160</v>
      </c>
      <c r="D14" s="81">
        <v>10</v>
      </c>
      <c r="E14" s="81">
        <v>110</v>
      </c>
      <c r="F14" s="69">
        <v>0</v>
      </c>
      <c r="G14" s="69">
        <v>0</v>
      </c>
      <c r="H14" s="174">
        <f>(C14+D14)-E14</f>
        <v>60</v>
      </c>
      <c r="J14" s="398">
        <v>161</v>
      </c>
      <c r="K14" s="398"/>
    </row>
    <row r="15" spans="1:21">
      <c r="B15" s="172" t="str">
        <f>Summary!B11</f>
        <v>DISTILLATES</v>
      </c>
      <c r="C15" s="81">
        <v>170</v>
      </c>
      <c r="D15" s="81">
        <v>10</v>
      </c>
      <c r="E15" s="81">
        <v>100</v>
      </c>
      <c r="F15" s="69">
        <v>0</v>
      </c>
      <c r="G15" s="69">
        <v>0</v>
      </c>
      <c r="H15" s="174">
        <f>(C15+D15)-E15</f>
        <v>80</v>
      </c>
      <c r="J15" s="398">
        <v>171</v>
      </c>
      <c r="K15" s="398"/>
    </row>
    <row r="16" spans="1:21">
      <c r="B16" s="172" t="s">
        <v>50</v>
      </c>
      <c r="C16" s="81">
        <f t="shared" ref="C16:H16" si="0">SUM(C13:C15)</f>
        <v>480</v>
      </c>
      <c r="D16" s="81">
        <f t="shared" si="0"/>
        <v>30</v>
      </c>
      <c r="E16" s="81">
        <f t="shared" si="0"/>
        <v>330</v>
      </c>
      <c r="F16" s="69">
        <f t="shared" si="0"/>
        <v>0</v>
      </c>
      <c r="G16" s="69">
        <f t="shared" si="0"/>
        <v>0</v>
      </c>
      <c r="H16" s="174">
        <f t="shared" si="0"/>
        <v>180</v>
      </c>
      <c r="J16" s="398">
        <f>SUM(J13:J15)</f>
        <v>483</v>
      </c>
      <c r="K16" s="398"/>
    </row>
    <row r="17" spans="2:12">
      <c r="B17" s="77"/>
      <c r="C17" s="78"/>
      <c r="D17" s="78"/>
      <c r="E17" s="78"/>
      <c r="F17" s="42"/>
      <c r="G17" s="42"/>
      <c r="H17" s="34"/>
      <c r="J17" s="43"/>
      <c r="K17" s="43"/>
    </row>
    <row r="18" spans="2:12">
      <c r="B18" s="172" t="s">
        <v>120</v>
      </c>
      <c r="C18" s="172" t="s">
        <v>4</v>
      </c>
      <c r="D18" s="172" t="s">
        <v>116</v>
      </c>
      <c r="E18" s="174" t="s">
        <v>117</v>
      </c>
      <c r="F18" s="174" t="s">
        <v>118</v>
      </c>
      <c r="G18" s="412" t="s">
        <v>146</v>
      </c>
      <c r="H18" s="412"/>
      <c r="J18" s="43"/>
      <c r="K18" s="43"/>
    </row>
    <row r="19" spans="2:12">
      <c r="B19" s="175">
        <v>1</v>
      </c>
      <c r="C19" s="81" t="s">
        <v>250</v>
      </c>
      <c r="D19" s="89">
        <v>46104</v>
      </c>
      <c r="E19" s="81" t="s">
        <v>251</v>
      </c>
      <c r="F19" s="175" t="s">
        <v>234</v>
      </c>
      <c r="G19" s="398">
        <v>200</v>
      </c>
      <c r="H19" s="398"/>
      <c r="J19" s="43"/>
      <c r="K19" s="43"/>
    </row>
    <row r="20" spans="2:12">
      <c r="B20" s="175">
        <v>2</v>
      </c>
      <c r="C20" s="81" t="s">
        <v>182</v>
      </c>
      <c r="D20" s="89">
        <v>46105</v>
      </c>
      <c r="E20" s="81" t="s">
        <v>251</v>
      </c>
      <c r="F20" s="175" t="s">
        <v>234</v>
      </c>
      <c r="G20" s="398">
        <v>600</v>
      </c>
      <c r="H20" s="398"/>
      <c r="J20" s="43"/>
      <c r="K20" s="43"/>
    </row>
    <row r="21" spans="2:12">
      <c r="B21" s="175">
        <v>3</v>
      </c>
      <c r="C21" s="81" t="s">
        <v>182</v>
      </c>
      <c r="D21" s="89">
        <v>46105</v>
      </c>
      <c r="E21" s="81" t="s">
        <v>251</v>
      </c>
      <c r="F21" s="175" t="s">
        <v>234</v>
      </c>
      <c r="G21" s="398">
        <v>397</v>
      </c>
      <c r="H21" s="398"/>
      <c r="J21" s="43"/>
      <c r="K21" s="43"/>
    </row>
    <row r="22" spans="2:12">
      <c r="B22" s="175">
        <v>4</v>
      </c>
      <c r="C22" s="81" t="s">
        <v>250</v>
      </c>
      <c r="D22" s="89">
        <v>46137</v>
      </c>
      <c r="E22" s="81" t="s">
        <v>183</v>
      </c>
      <c r="F22" s="175" t="s">
        <v>234</v>
      </c>
      <c r="G22" s="398">
        <v>198.661</v>
      </c>
      <c r="H22" s="398"/>
      <c r="J22" s="43"/>
      <c r="K22" s="43"/>
    </row>
    <row r="23" spans="2:12">
      <c r="B23" s="175">
        <v>5</v>
      </c>
      <c r="C23" s="81" t="s">
        <v>182</v>
      </c>
      <c r="D23" s="89">
        <v>46137</v>
      </c>
      <c r="E23" s="81" t="s">
        <v>183</v>
      </c>
      <c r="F23" s="175" t="s">
        <v>234</v>
      </c>
      <c r="G23" s="398">
        <v>1597.25</v>
      </c>
      <c r="H23" s="398"/>
      <c r="J23" s="43"/>
      <c r="K23" s="43"/>
    </row>
    <row r="24" spans="2:12">
      <c r="B24" s="175">
        <v>6</v>
      </c>
      <c r="C24" s="81" t="s">
        <v>182</v>
      </c>
      <c r="D24" s="89">
        <v>46168</v>
      </c>
      <c r="E24" s="81" t="s">
        <v>235</v>
      </c>
      <c r="F24" s="175" t="s">
        <v>234</v>
      </c>
      <c r="G24" s="398">
        <v>400.02800000000002</v>
      </c>
      <c r="H24" s="398"/>
      <c r="J24" s="43"/>
      <c r="K24" s="43"/>
    </row>
    <row r="25" spans="2:12">
      <c r="G25" s="44"/>
    </row>
    <row r="26" spans="2:12">
      <c r="B26" s="5" t="s">
        <v>54</v>
      </c>
      <c r="D26" s="18"/>
      <c r="E26" s="73" t="s">
        <v>75</v>
      </c>
      <c r="F26" s="413" t="s">
        <v>163</v>
      </c>
      <c r="G26" s="413"/>
      <c r="H26" s="413"/>
    </row>
    <row r="27" spans="2:12">
      <c r="B27" s="176" t="s">
        <v>55</v>
      </c>
      <c r="C27" s="176" t="s">
        <v>56</v>
      </c>
      <c r="D27" s="177" t="s">
        <v>57</v>
      </c>
      <c r="E27" s="177" t="s">
        <v>102</v>
      </c>
      <c r="F27" s="178" t="s">
        <v>58</v>
      </c>
      <c r="G27" s="411" t="s">
        <v>59</v>
      </c>
      <c r="H27" s="411"/>
    </row>
    <row r="28" spans="2:12">
      <c r="B28" s="179">
        <f>C12</f>
        <v>46157</v>
      </c>
      <c r="C28" s="175" t="s">
        <v>215</v>
      </c>
      <c r="D28" s="175">
        <v>188143</v>
      </c>
      <c r="E28" s="175">
        <v>172110</v>
      </c>
      <c r="F28" s="175">
        <v>9412</v>
      </c>
      <c r="G28" s="414" t="s">
        <v>60</v>
      </c>
      <c r="H28" s="414"/>
      <c r="J28" s="77"/>
      <c r="K28" s="77"/>
    </row>
    <row r="29" spans="2:12">
      <c r="B29" s="179">
        <f>E12</f>
        <v>46249</v>
      </c>
      <c r="C29" s="175" t="s">
        <v>215</v>
      </c>
      <c r="D29" s="175">
        <v>3008904</v>
      </c>
      <c r="E29" s="175">
        <v>306338</v>
      </c>
      <c r="F29" s="175">
        <v>9965</v>
      </c>
      <c r="G29" s="414" t="s">
        <v>61</v>
      </c>
      <c r="H29" s="414"/>
      <c r="J29" s="77"/>
      <c r="K29" s="77"/>
      <c r="L29" s="77"/>
    </row>
    <row r="30" spans="2:12" ht="15">
      <c r="B30" s="28"/>
      <c r="C30" s="176" t="s">
        <v>76</v>
      </c>
      <c r="D30" s="180">
        <f>(D29-D28)/1000</f>
        <v>2820.761</v>
      </c>
      <c r="E30" s="180">
        <f>(E29-E28)/1000</f>
        <v>134.22800000000001</v>
      </c>
      <c r="F30" s="180">
        <f>(F29-F28)/1000</f>
        <v>0.55300000000000005</v>
      </c>
      <c r="G30" s="74"/>
      <c r="H30" s="18"/>
    </row>
    <row r="31" spans="2:12">
      <c r="B31" s="28"/>
      <c r="C31" s="21" t="s">
        <v>71</v>
      </c>
      <c r="D31" s="181">
        <v>0.98980000000000001</v>
      </c>
      <c r="E31" s="181">
        <v>0.98980000000000001</v>
      </c>
      <c r="F31" s="181">
        <v>0.98980000000000001</v>
      </c>
      <c r="G31" s="18"/>
      <c r="H31" s="18"/>
    </row>
    <row r="32" spans="2:12">
      <c r="B32" s="28"/>
      <c r="C32" s="182" t="s">
        <v>77</v>
      </c>
      <c r="D32" s="81">
        <f>D30*D31</f>
        <v>2791.9892378</v>
      </c>
      <c r="E32" s="81">
        <f t="shared" ref="E32:F32" si="1">E30*E31</f>
        <v>132.85887440000002</v>
      </c>
      <c r="F32" s="81">
        <f t="shared" si="1"/>
        <v>0.54735940000000005</v>
      </c>
      <c r="G32" s="75"/>
      <c r="H32" s="18"/>
    </row>
    <row r="33" spans="2:12">
      <c r="B33" s="28"/>
      <c r="D33" s="31"/>
      <c r="E33" s="21"/>
      <c r="F33" s="31"/>
      <c r="G33" s="32"/>
      <c r="I33" s="31"/>
      <c r="J33" s="21"/>
    </row>
    <row r="34" spans="2:12">
      <c r="B34" s="6" t="s">
        <v>149</v>
      </c>
    </row>
    <row r="36" spans="2:12">
      <c r="B36" s="6" t="s">
        <v>62</v>
      </c>
      <c r="D36" s="6" t="s">
        <v>9</v>
      </c>
      <c r="E36" s="34">
        <f>H16</f>
        <v>180</v>
      </c>
      <c r="F36" s="6" t="s">
        <v>17</v>
      </c>
    </row>
    <row r="37" spans="2:12">
      <c r="B37" s="6" t="s">
        <v>63</v>
      </c>
      <c r="D37" s="6" t="s">
        <v>9</v>
      </c>
      <c r="E37" s="34">
        <f>D32+E32+F32</f>
        <v>2925.3954715999998</v>
      </c>
      <c r="F37" s="6" t="s">
        <v>17</v>
      </c>
    </row>
    <row r="38" spans="2:12">
      <c r="B38" s="6" t="s">
        <v>64</v>
      </c>
      <c r="E38" s="34">
        <f>E37-E36</f>
        <v>2745.3954715999998</v>
      </c>
      <c r="F38" s="6" t="s">
        <v>17</v>
      </c>
    </row>
    <row r="39" spans="2:12">
      <c r="B39" s="6" t="s">
        <v>65</v>
      </c>
      <c r="E39" s="87">
        <f>IFERROR(E38/E37*100,0)</f>
        <v>93.846985758081047</v>
      </c>
      <c r="F39" s="6" t="s">
        <v>46</v>
      </c>
    </row>
    <row r="42" spans="2:12">
      <c r="B42" s="18" t="s">
        <v>133</v>
      </c>
      <c r="C42" s="18"/>
      <c r="D42" s="18"/>
      <c r="E42" s="18"/>
      <c r="F42" s="18"/>
      <c r="G42" s="18"/>
      <c r="H42" s="18"/>
      <c r="I42" s="18"/>
      <c r="J42" s="18"/>
    </row>
    <row r="43" spans="2:12">
      <c r="B43" s="413"/>
      <c r="C43" s="413"/>
      <c r="D43" s="413"/>
      <c r="E43" s="413"/>
      <c r="F43" s="413"/>
      <c r="G43" s="413"/>
      <c r="H43" s="413"/>
      <c r="I43" s="413"/>
      <c r="J43" s="413"/>
      <c r="K43" s="413"/>
      <c r="L43" s="413"/>
    </row>
    <row r="44" spans="2:12">
      <c r="B44" s="413"/>
      <c r="C44" s="413"/>
      <c r="D44" s="413"/>
      <c r="E44" s="413"/>
      <c r="F44" s="413"/>
      <c r="G44" s="413"/>
      <c r="H44" s="413"/>
      <c r="I44" s="413"/>
      <c r="J44" s="413"/>
      <c r="K44" s="413"/>
      <c r="L44" s="413"/>
    </row>
    <row r="45" spans="2:12"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</row>
    <row r="46" spans="2:12"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</row>
    <row r="47" spans="2:12"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</row>
    <row r="57" spans="2:11">
      <c r="B57" s="408" t="s">
        <v>11</v>
      </c>
      <c r="C57" s="408"/>
      <c r="D57" s="410" t="str">
        <f>Summary!B38</f>
        <v>SIBI JESU ANTHONY</v>
      </c>
      <c r="E57" s="410"/>
      <c r="F57" s="410"/>
      <c r="H57" s="410" t="s">
        <v>101</v>
      </c>
      <c r="I57" s="410"/>
      <c r="J57" s="16" t="str">
        <f>Summary!B15</f>
        <v>ARMANDO JUNIOR</v>
      </c>
      <c r="K57" s="16"/>
    </row>
  </sheetData>
  <sheetProtection selectLockedCells="1"/>
  <mergeCells count="31">
    <mergeCell ref="B57:C57"/>
    <mergeCell ref="I5:J5"/>
    <mergeCell ref="D5:E5"/>
    <mergeCell ref="H57:I57"/>
    <mergeCell ref="G27:H27"/>
    <mergeCell ref="G18:H18"/>
    <mergeCell ref="F26:H26"/>
    <mergeCell ref="D57:F57"/>
    <mergeCell ref="B46:L46"/>
    <mergeCell ref="G28:H28"/>
    <mergeCell ref="B45:L45"/>
    <mergeCell ref="B47:L47"/>
    <mergeCell ref="B44:L44"/>
    <mergeCell ref="J15:K15"/>
    <mergeCell ref="G29:H29"/>
    <mergeCell ref="B43:L43"/>
    <mergeCell ref="A3:L3"/>
    <mergeCell ref="D7:E7"/>
    <mergeCell ref="G23:H23"/>
    <mergeCell ref="G22:H22"/>
    <mergeCell ref="G21:H21"/>
    <mergeCell ref="J16:K16"/>
    <mergeCell ref="J14:K14"/>
    <mergeCell ref="G19:H19"/>
    <mergeCell ref="G20:H20"/>
    <mergeCell ref="G24:H24"/>
    <mergeCell ref="H11:H12"/>
    <mergeCell ref="D11:D12"/>
    <mergeCell ref="B11:B12"/>
    <mergeCell ref="J11:K11"/>
    <mergeCell ref="J13:K13"/>
  </mergeCells>
  <dataValidations count="3">
    <dataValidation type="list" allowBlank="1" showInputMessage="1" showErrorMessage="1" sqref="F26" xr:uid="{F833832D-107E-42CD-8103-1751BE6746F0}">
      <formula1>"DIGITAL FLOWMETER,MASS FLOWMETER,VOLUMETRIC FLOWMETER,"</formula1>
    </dataValidation>
    <dataValidation type="list" allowBlank="1" showInputMessage="1" showErrorMessage="1" errorTitle="Opção inválida" error="Selecione uma opção da lista." sqref="B13" xr:uid="{5932FF76-387E-4CD2-B2B6-ACC2DFBFB5D4}">
      <formula1>"R HS,R VLS,R ULS,DIST"</formula1>
    </dataValidation>
    <dataValidation type="list" allowBlank="1" showInputMessage="1" showErrorMessage="1" errorTitle="Opção inválida" error="Selecione uma opção da lista." sqref="B14:B15" xr:uid="{BA3E7895-02FE-4C1C-8978-A14656DB343E}">
      <formula1>"R HS,R VLS,R ULS,DIST"</formula1>
    </dataValidation>
  </dataValidations>
  <pageMargins left="0.31496062992125984" right="0.23622047244094491" top="0.98425196850393704" bottom="0.98425196850393704" header="0.51181102362204722" footer="0.51181102362204722"/>
  <pageSetup paperSize="9" scale="8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89B7-D123-4ED6-832E-9733F3769856}">
  <sheetPr codeName="Planilha7"/>
  <dimension ref="A1:N74"/>
  <sheetViews>
    <sheetView showGridLines="0" tabSelected="1" view="pageBreakPreview" topLeftCell="A7" zoomScaleNormal="100" zoomScaleSheetLayoutView="100" workbookViewId="0">
      <selection activeCell="C39" sqref="C39"/>
    </sheetView>
  </sheetViews>
  <sheetFormatPr defaultRowHeight="13.2"/>
  <cols>
    <col min="1" max="1" width="2.88671875" customWidth="1"/>
    <col min="2" max="2" width="17.21875" customWidth="1"/>
    <col min="3" max="3" width="11.6640625" customWidth="1"/>
    <col min="4" max="4" width="10.5546875" customWidth="1"/>
    <col min="5" max="5" width="10.5546875" bestFit="1" customWidth="1"/>
    <col min="6" max="6" width="10.44140625" bestFit="1" customWidth="1"/>
    <col min="7" max="7" width="10.5546875" bestFit="1" customWidth="1"/>
    <col min="8" max="8" width="10.44140625" bestFit="1" customWidth="1"/>
    <col min="9" max="9" width="9.44140625" bestFit="1" customWidth="1"/>
    <col min="10" max="10" width="10.21875" bestFit="1" customWidth="1"/>
    <col min="14" max="14" width="10.33203125" customWidth="1"/>
    <col min="15" max="15" width="3.6640625" customWidth="1"/>
  </cols>
  <sheetData>
    <row r="1" spans="1:14" ht="50.7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4" ht="13.8">
      <c r="A2" s="6"/>
      <c r="B2" s="5"/>
      <c r="C2" s="5"/>
      <c r="D2" s="5"/>
      <c r="E2" s="5"/>
      <c r="F2" s="5"/>
      <c r="G2" s="5"/>
      <c r="H2" s="9"/>
      <c r="I2" s="9"/>
      <c r="J2" s="9"/>
      <c r="K2" s="9"/>
      <c r="L2" s="9"/>
    </row>
    <row r="3" spans="1:14" ht="15.6">
      <c r="A3" s="82"/>
      <c r="B3" s="388" t="s">
        <v>214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</row>
    <row r="4" spans="1:14" ht="13.8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ht="13.8">
      <c r="A5" s="6"/>
      <c r="B5" s="141" t="s">
        <v>83</v>
      </c>
      <c r="C5" s="136"/>
      <c r="D5" s="420" t="str">
        <f>Summary!B7</f>
        <v>MSC SABRINA</v>
      </c>
      <c r="E5" s="420"/>
      <c r="F5" s="136"/>
      <c r="G5" s="142" t="s">
        <v>41</v>
      </c>
      <c r="H5" s="140">
        <f>Summary!B21</f>
        <v>9979022</v>
      </c>
      <c r="I5" s="143" t="s">
        <v>66</v>
      </c>
      <c r="J5" s="136" t="str">
        <f>Summary!B8</f>
        <v>MM623R</v>
      </c>
    </row>
    <row r="6" spans="1:14" ht="13.8">
      <c r="A6" s="6"/>
      <c r="B6" s="141" t="s">
        <v>33</v>
      </c>
      <c r="C6" s="136"/>
      <c r="D6" s="136" t="str">
        <f>Summary!B13</f>
        <v>TERMINAL DE CONTAINER DE PARANAGUA</v>
      </c>
      <c r="E6" s="136"/>
      <c r="F6" s="136"/>
      <c r="G6" s="142" t="s">
        <v>170</v>
      </c>
      <c r="H6" s="144">
        <f>'Vessel Ullage'!J5</f>
        <v>46188</v>
      </c>
      <c r="I6" s="219">
        <f>'Time Log'!G7</f>
        <v>0.5</v>
      </c>
      <c r="J6" s="136" t="s">
        <v>316</v>
      </c>
      <c r="K6" s="6"/>
      <c r="L6" s="6"/>
    </row>
    <row r="7" spans="1:14" ht="13.8">
      <c r="A7" s="6"/>
      <c r="B7" s="141" t="s">
        <v>34</v>
      </c>
      <c r="C7" s="136"/>
      <c r="D7" s="421" t="str">
        <f>Summary!B14</f>
        <v>PARANAGUA</v>
      </c>
      <c r="E7" s="421"/>
      <c r="F7" s="136"/>
      <c r="G7" s="142" t="s">
        <v>171</v>
      </c>
      <c r="H7" s="144">
        <f>'Time Log'!F14</f>
        <v>46189</v>
      </c>
      <c r="I7" s="216">
        <f>'Time Log'!I14</f>
        <v>4.1666666666666664E-2</v>
      </c>
      <c r="J7" s="147" t="s">
        <v>316</v>
      </c>
      <c r="K7" s="18"/>
      <c r="L7" s="6"/>
    </row>
    <row r="8" spans="1:14" ht="13.8">
      <c r="A8" s="6"/>
      <c r="B8" s="5"/>
      <c r="C8" s="6"/>
      <c r="D8" s="80"/>
      <c r="E8" s="80"/>
      <c r="F8" s="6"/>
      <c r="G8" s="40"/>
      <c r="H8" s="6"/>
      <c r="I8" s="18"/>
      <c r="J8" s="18"/>
      <c r="K8" s="18"/>
      <c r="L8" s="6"/>
    </row>
    <row r="9" spans="1:14" ht="13.8">
      <c r="A9" s="6"/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</row>
    <row r="10" spans="1:14" ht="13.8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4" ht="14.4">
      <c r="B11" s="121" t="s">
        <v>184</v>
      </c>
      <c r="C11" s="419">
        <v>1</v>
      </c>
      <c r="D11" s="419"/>
      <c r="E11" s="419">
        <v>2</v>
      </c>
      <c r="F11" s="419"/>
      <c r="G11" s="419">
        <v>3</v>
      </c>
      <c r="H11" s="419"/>
      <c r="I11" s="419">
        <v>4</v>
      </c>
      <c r="J11" s="419"/>
      <c r="K11" s="419">
        <v>5</v>
      </c>
      <c r="L11" s="419"/>
      <c r="M11" s="419">
        <v>6</v>
      </c>
      <c r="N11" s="419"/>
    </row>
    <row r="12" spans="1:14" ht="14.4">
      <c r="B12" s="121" t="s">
        <v>185</v>
      </c>
      <c r="C12" s="432">
        <v>8034.5</v>
      </c>
      <c r="D12" s="432"/>
      <c r="E12" s="422"/>
      <c r="F12" s="422"/>
      <c r="G12" s="422"/>
      <c r="H12" s="422"/>
      <c r="I12" s="422"/>
      <c r="J12" s="422"/>
      <c r="K12" s="422"/>
      <c r="L12" s="422"/>
      <c r="M12" s="422"/>
      <c r="N12" s="422"/>
    </row>
    <row r="13" spans="1:14" ht="14.4"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</row>
    <row r="14" spans="1:14" ht="14.4">
      <c r="B14" s="122" t="s">
        <v>281</v>
      </c>
      <c r="C14" s="123" t="s">
        <v>186</v>
      </c>
      <c r="D14" s="123" t="s">
        <v>187</v>
      </c>
      <c r="E14" s="123" t="s">
        <v>186</v>
      </c>
      <c r="F14" s="123" t="s">
        <v>187</v>
      </c>
      <c r="G14" s="123" t="s">
        <v>186</v>
      </c>
      <c r="H14" s="123" t="s">
        <v>187</v>
      </c>
      <c r="I14" s="123" t="s">
        <v>186</v>
      </c>
      <c r="J14" s="123" t="s">
        <v>187</v>
      </c>
      <c r="K14" s="123" t="s">
        <v>186</v>
      </c>
      <c r="L14" s="123" t="s">
        <v>187</v>
      </c>
      <c r="M14" s="123" t="s">
        <v>186</v>
      </c>
      <c r="N14" s="123" t="s">
        <v>187</v>
      </c>
    </row>
    <row r="15" spans="1:14" ht="14.4">
      <c r="B15" s="124" t="s">
        <v>188</v>
      </c>
      <c r="C15" s="300"/>
      <c r="D15" s="300">
        <v>-137</v>
      </c>
      <c r="E15" s="300"/>
      <c r="F15" s="300"/>
      <c r="G15" s="300"/>
      <c r="H15" s="300"/>
      <c r="I15" s="300"/>
      <c r="J15" s="300"/>
      <c r="K15" s="300"/>
      <c r="L15" s="300"/>
      <c r="M15" s="300"/>
      <c r="N15" s="300"/>
    </row>
    <row r="16" spans="1:14" ht="14.4">
      <c r="B16" s="124" t="s">
        <v>189</v>
      </c>
      <c r="C16" s="300"/>
      <c r="D16" s="300">
        <v>-147</v>
      </c>
      <c r="E16" s="300"/>
      <c r="F16" s="300"/>
      <c r="G16" s="300"/>
      <c r="H16" s="300"/>
      <c r="I16" s="300"/>
      <c r="J16" s="300"/>
      <c r="K16" s="300"/>
      <c r="L16" s="300"/>
      <c r="M16" s="300"/>
      <c r="N16" s="300"/>
    </row>
    <row r="17" spans="2:14" ht="14.4">
      <c r="B17" s="124" t="s">
        <v>190</v>
      </c>
      <c r="C17" s="300">
        <v>-159</v>
      </c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</row>
    <row r="18" spans="2:14" ht="14.4">
      <c r="B18" s="124" t="s">
        <v>191</v>
      </c>
      <c r="C18" s="300">
        <v>-159</v>
      </c>
      <c r="D18" s="300"/>
      <c r="E18" s="300"/>
      <c r="F18" s="300"/>
      <c r="G18" s="300"/>
      <c r="H18" s="300"/>
      <c r="I18" s="300"/>
      <c r="J18" s="300"/>
      <c r="K18" s="300"/>
      <c r="L18" s="300"/>
      <c r="M18" s="300"/>
      <c r="N18" s="300"/>
    </row>
    <row r="19" spans="2:14" ht="14.4">
      <c r="B19" s="124" t="s">
        <v>192</v>
      </c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</row>
    <row r="20" spans="2:14" ht="14.4">
      <c r="B20" s="124" t="s">
        <v>193</v>
      </c>
      <c r="C20" s="300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00"/>
    </row>
    <row r="21" spans="2:14" ht="14.4">
      <c r="B21" s="429"/>
      <c r="C21" s="429"/>
      <c r="D21" s="429"/>
      <c r="E21" s="429"/>
      <c r="F21" s="429"/>
      <c r="G21" s="429"/>
      <c r="H21" s="429"/>
      <c r="I21" s="429"/>
      <c r="J21" s="429"/>
      <c r="K21" s="429"/>
      <c r="L21" s="429"/>
      <c r="M21" s="429"/>
      <c r="N21" s="429"/>
    </row>
    <row r="22" spans="2:14" ht="14.4">
      <c r="B22" s="118" t="s">
        <v>280</v>
      </c>
      <c r="C22" s="125">
        <f>AVERAGE(C15:C20)+273.15</f>
        <v>114.14999999999998</v>
      </c>
      <c r="D22" s="125">
        <f>AVERAGE(D15:D20)+273.15</f>
        <v>131.14999999999998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2:14" ht="14.4">
      <c r="B23" s="126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spans="2:14" ht="14.4">
      <c r="B24" s="121" t="s">
        <v>194</v>
      </c>
      <c r="C24" s="430">
        <v>814000</v>
      </c>
      <c r="D24" s="430"/>
      <c r="E24" s="431"/>
      <c r="F24" s="431"/>
      <c r="G24" s="431"/>
      <c r="H24" s="431"/>
      <c r="I24" s="431"/>
      <c r="J24" s="431"/>
      <c r="K24" s="431"/>
      <c r="L24" s="431"/>
      <c r="M24" s="431"/>
      <c r="N24" s="431"/>
    </row>
    <row r="25" spans="2:14" ht="14.4">
      <c r="B25" s="122" t="s">
        <v>195</v>
      </c>
      <c r="C25" s="426">
        <v>16.579999999999998</v>
      </c>
      <c r="D25" s="426"/>
      <c r="E25" s="426"/>
      <c r="F25" s="426"/>
      <c r="G25" s="426"/>
      <c r="H25" s="426"/>
      <c r="I25" s="426"/>
      <c r="J25" s="426"/>
      <c r="K25" s="426"/>
      <c r="L25" s="426"/>
      <c r="M25" s="426"/>
      <c r="N25" s="426"/>
    </row>
    <row r="26" spans="2:14" ht="14.4">
      <c r="B26" s="122" t="s">
        <v>196</v>
      </c>
      <c r="C26" s="424">
        <v>4976</v>
      </c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</row>
    <row r="27" spans="2:14" ht="14.4"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2:14" ht="14.4">
      <c r="B28" s="425" t="s">
        <v>220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</row>
    <row r="29" spans="2:14" ht="14.4">
      <c r="B29" s="423" t="s">
        <v>197</v>
      </c>
      <c r="C29" s="423"/>
      <c r="D29" s="193" t="s">
        <v>198</v>
      </c>
      <c r="E29" s="193" t="s">
        <v>199</v>
      </c>
      <c r="F29" s="193" t="s">
        <v>200</v>
      </c>
      <c r="G29" s="193" t="s">
        <v>201</v>
      </c>
      <c r="H29" s="193" t="s">
        <v>202</v>
      </c>
      <c r="I29" s="193" t="s">
        <v>203</v>
      </c>
      <c r="J29" s="193" t="s">
        <v>204</v>
      </c>
      <c r="K29" s="193" t="s">
        <v>205</v>
      </c>
      <c r="L29" s="193" t="s">
        <v>206</v>
      </c>
      <c r="M29" s="193" t="s">
        <v>207</v>
      </c>
      <c r="N29" s="193" t="s">
        <v>208</v>
      </c>
    </row>
    <row r="30" spans="2:14" ht="14.4">
      <c r="B30" s="423" t="s">
        <v>209</v>
      </c>
      <c r="C30" s="423"/>
      <c r="D30" s="128">
        <v>16.0425</v>
      </c>
      <c r="E30" s="128">
        <v>30.068999999999999</v>
      </c>
      <c r="F30" s="128">
        <v>44.095599999999997</v>
      </c>
      <c r="G30" s="128">
        <v>58.122199999999999</v>
      </c>
      <c r="H30" s="128">
        <v>58.122199999999999</v>
      </c>
      <c r="I30" s="128">
        <v>72.148799999999994</v>
      </c>
      <c r="J30" s="128">
        <v>72.148799999999994</v>
      </c>
      <c r="K30" s="128">
        <v>28.013400000000001</v>
      </c>
      <c r="L30" s="128">
        <v>86.175399999999996</v>
      </c>
      <c r="M30" s="128">
        <v>44.009500000000003</v>
      </c>
      <c r="N30" s="128">
        <v>31.998799999999999</v>
      </c>
    </row>
    <row r="31" spans="2:14" ht="14.4">
      <c r="B31" s="423" t="s">
        <v>210</v>
      </c>
      <c r="C31" s="423"/>
      <c r="D31" s="299">
        <v>0.90459999999999996</v>
      </c>
      <c r="E31" s="299">
        <v>7.0300000000000001E-2</v>
      </c>
      <c r="F31" s="299">
        <v>1.67E-2</v>
      </c>
      <c r="G31" s="299">
        <v>3.0999999999999999E-3</v>
      </c>
      <c r="H31" s="299">
        <v>4.5999999999999999E-3</v>
      </c>
      <c r="I31" s="299">
        <v>2.0000000000000001E-4</v>
      </c>
      <c r="J31" s="299">
        <v>1E-4</v>
      </c>
      <c r="K31" s="299">
        <v>4.0000000000000002E-4</v>
      </c>
      <c r="L31" s="299">
        <v>0</v>
      </c>
      <c r="M31" s="299">
        <v>0</v>
      </c>
      <c r="N31" s="299">
        <v>0</v>
      </c>
    </row>
    <row r="32" spans="2:14" ht="14.4">
      <c r="B32" s="423" t="s">
        <v>211</v>
      </c>
      <c r="C32" s="423"/>
      <c r="D32" s="194">
        <f>D30*D31</f>
        <v>14.512045499999999</v>
      </c>
      <c r="E32" s="194">
        <f t="shared" ref="E32:N32" si="0">E30*E31</f>
        <v>2.1138507</v>
      </c>
      <c r="F32" s="194">
        <f t="shared" si="0"/>
        <v>0.73639651999999989</v>
      </c>
      <c r="G32" s="194">
        <f t="shared" si="0"/>
        <v>0.18017881999999999</v>
      </c>
      <c r="H32" s="194">
        <f>H30*H31</f>
        <v>0.26736211999999998</v>
      </c>
      <c r="I32" s="194">
        <f t="shared" si="0"/>
        <v>1.442976E-2</v>
      </c>
      <c r="J32" s="194">
        <f t="shared" si="0"/>
        <v>7.2148799999999999E-3</v>
      </c>
      <c r="K32" s="194">
        <f t="shared" si="0"/>
        <v>1.1205360000000001E-2</v>
      </c>
      <c r="L32" s="194">
        <f t="shared" si="0"/>
        <v>0</v>
      </c>
      <c r="M32" s="194">
        <f t="shared" si="0"/>
        <v>0</v>
      </c>
      <c r="N32" s="194">
        <f t="shared" si="0"/>
        <v>0</v>
      </c>
    </row>
    <row r="33" spans="2:14" ht="14.4">
      <c r="B33" s="119"/>
      <c r="C33" s="119"/>
      <c r="D33" s="119"/>
      <c r="E33" s="119"/>
      <c r="F33" s="119"/>
      <c r="G33" s="119"/>
      <c r="H33" s="119"/>
      <c r="I33" s="119"/>
      <c r="J33" s="119"/>
      <c r="K33" s="428" t="s">
        <v>274</v>
      </c>
      <c r="L33" s="428"/>
      <c r="M33" s="428"/>
      <c r="N33" s="120">
        <f>SUM(D32:N32)</f>
        <v>17.842683659999999</v>
      </c>
    </row>
    <row r="34" spans="2:14" ht="14.4">
      <c r="B34" s="301" t="s">
        <v>275</v>
      </c>
      <c r="C34" s="245">
        <f>SUM(D32:N32)</f>
        <v>17.842683659999999</v>
      </c>
      <c r="D34" s="130" t="s">
        <v>221</v>
      </c>
      <c r="E34" s="130"/>
      <c r="F34" s="130"/>
      <c r="G34" s="130"/>
      <c r="H34" s="115"/>
      <c r="I34" s="115"/>
      <c r="J34" s="115"/>
      <c r="K34" s="115"/>
      <c r="L34" s="115"/>
      <c r="M34" s="115"/>
      <c r="N34" s="115"/>
    </row>
    <row r="35" spans="2:14" ht="14.4">
      <c r="B35" s="129" t="s">
        <v>276</v>
      </c>
      <c r="C35" s="245">
        <v>3.9550000000000002E-2</v>
      </c>
      <c r="D35" s="130" t="s">
        <v>222</v>
      </c>
      <c r="E35" s="130"/>
      <c r="F35" s="130"/>
      <c r="G35" s="130"/>
      <c r="H35" s="115"/>
      <c r="I35" s="115"/>
      <c r="J35" s="115"/>
      <c r="K35" s="115"/>
      <c r="L35" s="115"/>
      <c r="M35" s="115"/>
      <c r="N35" s="115"/>
    </row>
    <row r="36" spans="2:14" ht="14.4">
      <c r="B36" s="129" t="s">
        <v>277</v>
      </c>
      <c r="C36" s="246">
        <f>C34/C35/1000</f>
        <v>0.45114244399494308</v>
      </c>
      <c r="D36" s="130" t="s">
        <v>223</v>
      </c>
      <c r="E36" s="130"/>
      <c r="F36" s="130"/>
      <c r="G36" s="130"/>
      <c r="H36" s="115"/>
      <c r="I36" s="115"/>
      <c r="J36" s="115"/>
      <c r="K36" s="115"/>
      <c r="L36" s="115"/>
      <c r="M36" s="115"/>
      <c r="N36" s="115"/>
    </row>
    <row r="37" spans="2:14" ht="14.4">
      <c r="B37" s="129" t="s">
        <v>278</v>
      </c>
      <c r="C37" s="247">
        <v>2244.89</v>
      </c>
      <c r="D37" s="129" t="s">
        <v>89</v>
      </c>
      <c r="E37" s="129"/>
      <c r="F37" s="129"/>
      <c r="G37" s="129"/>
      <c r="H37" s="115"/>
      <c r="I37" s="115"/>
      <c r="J37" s="115"/>
      <c r="K37" s="115"/>
      <c r="L37" s="115"/>
      <c r="M37" s="115"/>
      <c r="N37" s="115"/>
    </row>
    <row r="38" spans="2:14" ht="14.4">
      <c r="B38" s="129" t="s">
        <v>279</v>
      </c>
      <c r="C38" s="247">
        <v>40.737000000000002</v>
      </c>
      <c r="D38" s="129" t="s">
        <v>89</v>
      </c>
      <c r="E38" s="129"/>
      <c r="F38" s="129"/>
      <c r="G38" s="129"/>
      <c r="H38" s="115"/>
      <c r="I38" s="115"/>
      <c r="J38" s="115"/>
      <c r="K38" s="115"/>
      <c r="L38" s="115"/>
      <c r="M38" s="115"/>
      <c r="N38" s="115"/>
    </row>
    <row r="39" spans="2:14" ht="14.4">
      <c r="B39" s="129" t="s">
        <v>212</v>
      </c>
      <c r="C39" s="247">
        <f>C37+C38</f>
        <v>2285.627</v>
      </c>
      <c r="D39" s="129" t="s">
        <v>89</v>
      </c>
      <c r="E39" s="129"/>
      <c r="F39" s="129"/>
      <c r="G39" s="129"/>
      <c r="H39" s="115"/>
      <c r="I39" s="115"/>
      <c r="J39" s="115"/>
      <c r="K39" s="115"/>
      <c r="L39" s="115"/>
      <c r="M39" s="115"/>
      <c r="N39" s="115"/>
    </row>
    <row r="40" spans="2:14" ht="14.4">
      <c r="B40" s="301" t="s">
        <v>310</v>
      </c>
      <c r="C40" s="247">
        <v>2280</v>
      </c>
      <c r="D40" s="129" t="s">
        <v>89</v>
      </c>
      <c r="E40" s="129"/>
      <c r="F40" s="129"/>
      <c r="G40" s="129"/>
      <c r="H40" s="115"/>
      <c r="I40" s="115"/>
      <c r="J40" s="115"/>
      <c r="K40" s="115"/>
      <c r="L40" s="115"/>
      <c r="M40" s="115"/>
      <c r="N40" s="115"/>
    </row>
    <row r="41" spans="2:14" ht="14.4">
      <c r="B41" s="129" t="s">
        <v>72</v>
      </c>
      <c r="C41" s="247">
        <f>C39-C40</f>
        <v>5.6269999999999527</v>
      </c>
      <c r="D41" s="129" t="s">
        <v>89</v>
      </c>
      <c r="E41" s="129"/>
      <c r="F41" s="129"/>
      <c r="G41" s="129"/>
      <c r="H41" s="115"/>
      <c r="I41" s="115"/>
      <c r="J41" s="115"/>
      <c r="K41" s="115"/>
      <c r="L41" s="115"/>
      <c r="M41" s="115"/>
      <c r="N41" s="115"/>
    </row>
    <row r="42" spans="2:14" ht="14.4">
      <c r="B42" s="115"/>
      <c r="C42" s="248">
        <f>(C41/C40)*100</f>
        <v>0.24679824561403299</v>
      </c>
      <c r="D42" s="115" t="s">
        <v>46</v>
      </c>
      <c r="E42" s="115"/>
      <c r="F42" s="115"/>
      <c r="G42" s="115"/>
      <c r="H42" s="115"/>
      <c r="I42" s="115"/>
      <c r="J42" s="115"/>
      <c r="K42" s="115"/>
      <c r="L42" s="115"/>
      <c r="M42" s="115"/>
      <c r="N42" s="115"/>
    </row>
    <row r="43" spans="2:14" ht="14.4">
      <c r="B43" s="101"/>
      <c r="C43" s="131"/>
      <c r="D43" s="114"/>
      <c r="E43" s="131"/>
      <c r="F43" s="114"/>
      <c r="G43" s="114"/>
      <c r="H43" s="101"/>
      <c r="I43" s="115"/>
      <c r="J43" s="115"/>
      <c r="K43" s="115"/>
      <c r="L43" s="115"/>
      <c r="M43" s="115"/>
      <c r="N43" s="115"/>
    </row>
    <row r="44" spans="2:14" ht="35.25" customHeight="1">
      <c r="B44" s="415" t="s">
        <v>53</v>
      </c>
      <c r="C44" s="206" t="s">
        <v>311</v>
      </c>
      <c r="D44" s="417" t="s">
        <v>315</v>
      </c>
      <c r="E44" s="206" t="s">
        <v>88</v>
      </c>
      <c r="F44" s="206" t="s">
        <v>134</v>
      </c>
      <c r="G44" s="206" t="s">
        <v>52</v>
      </c>
      <c r="H44" s="417" t="s">
        <v>314</v>
      </c>
      <c r="I44" s="115"/>
      <c r="J44" s="417" t="s">
        <v>157</v>
      </c>
      <c r="K44" s="417"/>
      <c r="L44" s="115"/>
      <c r="M44" s="115"/>
      <c r="N44" s="115"/>
    </row>
    <row r="45" spans="2:14" ht="14.4">
      <c r="B45" s="416"/>
      <c r="C45" s="211">
        <f>'LOG Audit'!C12</f>
        <v>46157</v>
      </c>
      <c r="D45" s="418"/>
      <c r="E45" s="211">
        <f>'LOG Audit'!E12</f>
        <v>46249</v>
      </c>
      <c r="F45" s="212"/>
      <c r="G45" s="212"/>
      <c r="H45" s="418"/>
      <c r="I45" s="115"/>
      <c r="J45" s="207">
        <f>Summary!B18</f>
        <v>46249</v>
      </c>
      <c r="K45" s="208">
        <f>Summary!B19</f>
        <v>0.83333333333333337</v>
      </c>
      <c r="L45" s="115"/>
      <c r="M45" s="115"/>
      <c r="N45" s="115"/>
    </row>
    <row r="46" spans="2:14" ht="14.4">
      <c r="B46" s="195" t="s">
        <v>213</v>
      </c>
      <c r="C46" s="209">
        <v>672.1</v>
      </c>
      <c r="D46" s="209">
        <v>2237.8690000000001</v>
      </c>
      <c r="E46" s="209">
        <v>2317.25</v>
      </c>
      <c r="F46" s="210">
        <v>0</v>
      </c>
      <c r="G46" s="210">
        <v>0</v>
      </c>
      <c r="H46" s="209">
        <f>(C46+D46)-E46</f>
        <v>592.71900000000005</v>
      </c>
      <c r="I46" s="115"/>
      <c r="J46" s="436">
        <v>2317.25</v>
      </c>
      <c r="K46" s="437"/>
      <c r="L46" s="115"/>
      <c r="M46" s="115"/>
      <c r="N46" s="115"/>
    </row>
    <row r="47" spans="2:14" ht="14.4">
      <c r="B47" s="195" t="s">
        <v>50</v>
      </c>
      <c r="C47" s="198">
        <f t="shared" ref="C47:H47" si="1">SUM(C46:C46)</f>
        <v>672.1</v>
      </c>
      <c r="D47" s="198">
        <f t="shared" si="1"/>
        <v>2237.8690000000001</v>
      </c>
      <c r="E47" s="198">
        <f t="shared" si="1"/>
        <v>2317.25</v>
      </c>
      <c r="F47" s="197">
        <f t="shared" si="1"/>
        <v>0</v>
      </c>
      <c r="G47" s="197">
        <f t="shared" si="1"/>
        <v>0</v>
      </c>
      <c r="H47" s="196">
        <f t="shared" si="1"/>
        <v>592.71900000000005</v>
      </c>
      <c r="I47" s="115"/>
      <c r="J47" s="438">
        <f>J46</f>
        <v>2317.25</v>
      </c>
      <c r="K47" s="438"/>
      <c r="L47" s="115"/>
      <c r="M47" s="115"/>
      <c r="N47" s="115"/>
    </row>
    <row r="48" spans="2:14" ht="14.4"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49" spans="2:14" ht="14.4">
      <c r="B49" s="100" t="s">
        <v>54</v>
      </c>
      <c r="C49" s="101"/>
      <c r="D49" s="116"/>
      <c r="E49" s="132" t="s">
        <v>75</v>
      </c>
      <c r="F49" s="435" t="s">
        <v>163</v>
      </c>
      <c r="G49" s="435"/>
      <c r="H49" s="435"/>
      <c r="I49" s="115"/>
      <c r="J49" s="115"/>
      <c r="K49" s="115"/>
      <c r="L49" s="115"/>
      <c r="M49" s="115"/>
      <c r="N49" s="115"/>
    </row>
    <row r="50" spans="2:14" ht="28.8">
      <c r="B50" s="199" t="s">
        <v>55</v>
      </c>
      <c r="C50" s="199" t="s">
        <v>56</v>
      </c>
      <c r="D50" s="200" t="s">
        <v>57</v>
      </c>
      <c r="E50" s="200" t="s">
        <v>216</v>
      </c>
      <c r="F50" s="200" t="s">
        <v>217</v>
      </c>
      <c r="G50" s="200" t="s">
        <v>218</v>
      </c>
      <c r="H50" s="200" t="s">
        <v>219</v>
      </c>
      <c r="I50" s="200" t="s">
        <v>236</v>
      </c>
      <c r="J50" s="201" t="s">
        <v>58</v>
      </c>
      <c r="K50" s="433" t="s">
        <v>326</v>
      </c>
      <c r="L50" s="433"/>
      <c r="M50" s="115"/>
      <c r="N50" s="115"/>
    </row>
    <row r="51" spans="2:14" ht="14.4">
      <c r="B51" s="202">
        <v>46104</v>
      </c>
      <c r="C51" s="203" t="s">
        <v>213</v>
      </c>
      <c r="D51" s="204">
        <v>45115</v>
      </c>
      <c r="E51" s="204">
        <v>21142</v>
      </c>
      <c r="F51" s="204">
        <v>15161</v>
      </c>
      <c r="G51" s="204">
        <v>16612</v>
      </c>
      <c r="H51" s="204">
        <v>21762</v>
      </c>
      <c r="I51" s="204">
        <v>24699</v>
      </c>
      <c r="J51" s="204">
        <v>4859</v>
      </c>
      <c r="K51" s="434" t="s">
        <v>60</v>
      </c>
      <c r="L51" s="434"/>
      <c r="M51" s="115"/>
      <c r="N51" s="115"/>
    </row>
    <row r="52" spans="2:14" ht="14.4">
      <c r="B52" s="202">
        <v>46188</v>
      </c>
      <c r="C52" s="203" t="s">
        <v>213</v>
      </c>
      <c r="D52" s="204">
        <v>72156</v>
      </c>
      <c r="E52" s="204">
        <v>63995</v>
      </c>
      <c r="F52" s="204">
        <v>163974</v>
      </c>
      <c r="G52" s="204">
        <v>82791</v>
      </c>
      <c r="H52" s="204">
        <v>142963</v>
      </c>
      <c r="I52" s="204">
        <v>55477</v>
      </c>
      <c r="J52" s="204">
        <v>127376</v>
      </c>
      <c r="K52" s="434" t="s">
        <v>61</v>
      </c>
      <c r="L52" s="434"/>
      <c r="M52" s="115"/>
      <c r="N52" s="115"/>
    </row>
    <row r="53" spans="2:14" ht="14.4">
      <c r="B53" s="114"/>
      <c r="C53" s="199" t="s">
        <v>237</v>
      </c>
      <c r="D53" s="205">
        <f t="shared" ref="D53:G53" si="2">(D52-D51)/1000</f>
        <v>27.041</v>
      </c>
      <c r="E53" s="205">
        <f t="shared" si="2"/>
        <v>42.853000000000002</v>
      </c>
      <c r="F53" s="205">
        <f t="shared" si="2"/>
        <v>148.81299999999999</v>
      </c>
      <c r="G53" s="205">
        <f t="shared" si="2"/>
        <v>66.179000000000002</v>
      </c>
      <c r="H53" s="205">
        <f>(H52-H51)/1000</f>
        <v>121.20099999999999</v>
      </c>
      <c r="I53" s="205">
        <f>(I52-I51)/1000</f>
        <v>30.777999999999999</v>
      </c>
      <c r="J53" s="205">
        <f>(J52-J51)/1000</f>
        <v>122.517</v>
      </c>
      <c r="K53" s="115"/>
      <c r="L53" s="115"/>
      <c r="M53" s="115"/>
      <c r="N53" s="115"/>
    </row>
    <row r="54" spans="2:14" ht="14.4">
      <c r="B54" s="114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 spans="2:14" ht="14.4">
      <c r="B55" s="115"/>
      <c r="C55" s="101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2:14" ht="14.4">
      <c r="B56" s="101" t="s">
        <v>62</v>
      </c>
      <c r="C56" s="101"/>
      <c r="D56" s="101" t="s">
        <v>9</v>
      </c>
      <c r="E56" s="133">
        <f>H47</f>
        <v>592.71900000000005</v>
      </c>
      <c r="F56" s="101" t="s">
        <v>17</v>
      </c>
      <c r="G56" s="115"/>
      <c r="H56" s="115"/>
      <c r="I56" s="115"/>
      <c r="J56" s="115"/>
      <c r="K56" s="115"/>
      <c r="L56" s="115"/>
      <c r="M56" s="115"/>
      <c r="N56" s="115"/>
    </row>
    <row r="57" spans="2:14" ht="14.4">
      <c r="B57" s="101" t="s">
        <v>63</v>
      </c>
      <c r="C57" s="101"/>
      <c r="D57" s="101" t="s">
        <v>9</v>
      </c>
      <c r="E57" s="133">
        <f>D53+E53+F53+G53+H53+I53+J53</f>
        <v>559.38200000000006</v>
      </c>
      <c r="F57" s="101" t="s">
        <v>17</v>
      </c>
      <c r="G57" s="115"/>
      <c r="H57" s="115"/>
      <c r="I57" s="115"/>
      <c r="J57" s="115"/>
      <c r="K57" s="115"/>
      <c r="L57" s="115"/>
      <c r="M57" s="115"/>
      <c r="N57" s="115"/>
    </row>
    <row r="58" spans="2:14" ht="14.4">
      <c r="B58" s="101" t="s">
        <v>64</v>
      </c>
      <c r="C58" s="115"/>
      <c r="D58" s="101"/>
      <c r="E58" s="133">
        <f>E57-E56</f>
        <v>-33.336999999999989</v>
      </c>
      <c r="F58" s="101" t="s">
        <v>17</v>
      </c>
      <c r="G58" s="115"/>
      <c r="H58" s="115"/>
      <c r="I58" s="115"/>
      <c r="J58" s="115"/>
      <c r="K58" s="115"/>
      <c r="L58" s="115"/>
      <c r="M58" s="115"/>
      <c r="N58" s="115"/>
    </row>
    <row r="59" spans="2:14" ht="14.4">
      <c r="B59" s="101" t="s">
        <v>65</v>
      </c>
      <c r="C59" s="115"/>
      <c r="D59" s="101"/>
      <c r="E59" s="134">
        <f>IFERROR(E58/E57*100,0)</f>
        <v>-5.9596125724460176</v>
      </c>
      <c r="F59" s="101" t="s">
        <v>46</v>
      </c>
      <c r="G59" s="115"/>
      <c r="H59" s="115"/>
      <c r="I59" s="115"/>
      <c r="J59" s="115"/>
      <c r="K59" s="115"/>
      <c r="L59" s="115"/>
      <c r="M59" s="115"/>
      <c r="N59" s="115"/>
    </row>
    <row r="60" spans="2:14" ht="14.4"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</row>
    <row r="61" spans="2:14" ht="14.4">
      <c r="B61" s="101" t="s">
        <v>238</v>
      </c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</row>
    <row r="62" spans="2:14" ht="14.4">
      <c r="B62" s="101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</row>
    <row r="72" spans="2:14" ht="13.8">
      <c r="G72" s="6"/>
    </row>
    <row r="74" spans="2:14" ht="13.8">
      <c r="B74" s="88" t="s">
        <v>11</v>
      </c>
      <c r="C74" s="88"/>
      <c r="D74" s="410" t="str">
        <f>Summary!B38</f>
        <v>SIBI JESU ANTHONY</v>
      </c>
      <c r="E74" s="410"/>
      <c r="F74" s="410"/>
      <c r="K74" s="410" t="s">
        <v>101</v>
      </c>
      <c r="L74" s="410"/>
      <c r="M74" s="16" t="str">
        <f>Summary!B15</f>
        <v>ARMANDO JUNIOR</v>
      </c>
      <c r="N74" s="16"/>
    </row>
  </sheetData>
  <mergeCells count="53">
    <mergeCell ref="K50:L50"/>
    <mergeCell ref="K51:L51"/>
    <mergeCell ref="K52:L52"/>
    <mergeCell ref="F49:H49"/>
    <mergeCell ref="J44:K44"/>
    <mergeCell ref="J46:K46"/>
    <mergeCell ref="J47:K47"/>
    <mergeCell ref="D74:F74"/>
    <mergeCell ref="K74:L74"/>
    <mergeCell ref="B9:N9"/>
    <mergeCell ref="B3:N3"/>
    <mergeCell ref="K33:M33"/>
    <mergeCell ref="M25:N25"/>
    <mergeCell ref="B21:N21"/>
    <mergeCell ref="C24:D24"/>
    <mergeCell ref="E24:F24"/>
    <mergeCell ref="G24:H24"/>
    <mergeCell ref="I24:J24"/>
    <mergeCell ref="K24:L24"/>
    <mergeCell ref="M24:N24"/>
    <mergeCell ref="M11:N11"/>
    <mergeCell ref="C12:D12"/>
    <mergeCell ref="C25:D25"/>
    <mergeCell ref="M12:N12"/>
    <mergeCell ref="B30:C30"/>
    <mergeCell ref="B31:C31"/>
    <mergeCell ref="B32:C32"/>
    <mergeCell ref="C26:D26"/>
    <mergeCell ref="B28:N28"/>
    <mergeCell ref="E26:F26"/>
    <mergeCell ref="G26:H26"/>
    <mergeCell ref="I26:J26"/>
    <mergeCell ref="K26:L26"/>
    <mergeCell ref="M26:N26"/>
    <mergeCell ref="E25:F25"/>
    <mergeCell ref="G25:H25"/>
    <mergeCell ref="I25:J25"/>
    <mergeCell ref="K25:L25"/>
    <mergeCell ref="B29:C29"/>
    <mergeCell ref="B44:B45"/>
    <mergeCell ref="H44:H45"/>
    <mergeCell ref="D44:D45"/>
    <mergeCell ref="K11:L11"/>
    <mergeCell ref="D5:E5"/>
    <mergeCell ref="D7:E7"/>
    <mergeCell ref="C11:D11"/>
    <mergeCell ref="E11:F11"/>
    <mergeCell ref="G11:H11"/>
    <mergeCell ref="I11:J11"/>
    <mergeCell ref="E12:F12"/>
    <mergeCell ref="G12:H12"/>
    <mergeCell ref="I12:J12"/>
    <mergeCell ref="K12:L12"/>
  </mergeCells>
  <phoneticPr fontId="34" type="noConversion"/>
  <dataValidations count="1">
    <dataValidation type="list" allowBlank="1" showInputMessage="1" showErrorMessage="1" sqref="F49" xr:uid="{6BF7DF71-F75E-4CB0-9446-95E068D3461E}">
      <formula1>"DIGITAL FLOWMETER,MASS FLOWMETER,VOLUMETRIC FLOWMETER,"</formula1>
    </dataValidation>
  </dataValidations>
  <pageMargins left="0.511811024" right="0.511811024" top="0.78740157499999996" bottom="0.78740157499999996" header="0.31496062000000002" footer="0.31496062000000002"/>
  <pageSetup paperSize="9" scale="61" orientation="portrait" r:id="rId1"/>
  <ignoredErrors>
    <ignoredError sqref="M7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9A2A-3AEA-42F1-B01C-574F48B23E92}">
  <sheetPr codeName="Planilha8"/>
  <dimension ref="A1:B29"/>
  <sheetViews>
    <sheetView workbookViewId="0">
      <selection activeCell="C38" sqref="C38"/>
    </sheetView>
  </sheetViews>
  <sheetFormatPr defaultColWidth="9" defaultRowHeight="13.2"/>
  <cols>
    <col min="1" max="2" width="9.109375" style="4" customWidth="1"/>
    <col min="3" max="16384" width="9" style="2"/>
  </cols>
  <sheetData>
    <row r="1" spans="1:2" ht="26.4">
      <c r="A1" s="1" t="s">
        <v>14</v>
      </c>
      <c r="B1" s="1" t="s">
        <v>15</v>
      </c>
    </row>
    <row r="2" spans="1:2">
      <c r="A2" s="3">
        <v>0.5</v>
      </c>
      <c r="B2" s="4">
        <v>0.99775000000000003</v>
      </c>
    </row>
    <row r="3" spans="1:2">
      <c r="A3" s="3">
        <v>0.51910000000000001</v>
      </c>
      <c r="B3" s="4">
        <v>0.99775000000000003</v>
      </c>
    </row>
    <row r="4" spans="1:2">
      <c r="A4" s="3">
        <v>0.51919999999999999</v>
      </c>
      <c r="B4" s="4">
        <v>0.99785000000000001</v>
      </c>
    </row>
    <row r="5" spans="1:2">
      <c r="A5" s="3">
        <v>0.54210000000000003</v>
      </c>
      <c r="B5" s="4">
        <v>0.99785000000000001</v>
      </c>
    </row>
    <row r="6" spans="1:2">
      <c r="A6" s="3">
        <v>0.54220000000000002</v>
      </c>
      <c r="B6" s="4">
        <v>0.99795</v>
      </c>
    </row>
    <row r="7" spans="1:2">
      <c r="A7" s="3">
        <v>0.56730000000000003</v>
      </c>
      <c r="B7" s="4">
        <v>0.99795</v>
      </c>
    </row>
    <row r="8" spans="1:2">
      <c r="A8" s="3">
        <v>0.56740000000000002</v>
      </c>
      <c r="B8" s="4">
        <v>0.99804999999999999</v>
      </c>
    </row>
    <row r="9" spans="1:2">
      <c r="A9" s="3">
        <v>0.59499999999999997</v>
      </c>
      <c r="B9" s="4">
        <v>0.99804999999999999</v>
      </c>
    </row>
    <row r="10" spans="1:2">
      <c r="A10" s="3">
        <v>0.59509999999999996</v>
      </c>
      <c r="B10" s="4">
        <v>0.99814999999999998</v>
      </c>
    </row>
    <row r="11" spans="1:2">
      <c r="A11" s="3">
        <v>0.62549999999999994</v>
      </c>
      <c r="B11" s="4">
        <v>0.99814999999999998</v>
      </c>
    </row>
    <row r="12" spans="1:2">
      <c r="A12" s="3">
        <v>0.62560000000000004</v>
      </c>
      <c r="B12" s="4">
        <v>0.99824999999999997</v>
      </c>
    </row>
    <row r="13" spans="1:2">
      <c r="A13" s="3">
        <v>0.6593</v>
      </c>
      <c r="B13" s="4">
        <v>0.99824999999999997</v>
      </c>
    </row>
    <row r="14" spans="1:2">
      <c r="A14" s="3">
        <v>0.65939999999999999</v>
      </c>
      <c r="B14" s="4">
        <v>0.99834999999999996</v>
      </c>
    </row>
    <row r="15" spans="1:2">
      <c r="A15" s="3">
        <v>0.69699999999999995</v>
      </c>
      <c r="B15" s="4">
        <v>0.99834999999999996</v>
      </c>
    </row>
    <row r="16" spans="1:2">
      <c r="A16" s="3">
        <v>0.69710000000000005</v>
      </c>
      <c r="B16" s="4">
        <v>0.99844999999999995</v>
      </c>
    </row>
    <row r="17" spans="1:2">
      <c r="A17" s="3">
        <v>0.73919999999999997</v>
      </c>
      <c r="B17" s="4">
        <v>0.99844999999999995</v>
      </c>
    </row>
    <row r="18" spans="1:2">
      <c r="A18" s="3">
        <v>0.73929999999999996</v>
      </c>
      <c r="B18" s="4">
        <v>0.99855000000000005</v>
      </c>
    </row>
    <row r="19" spans="1:2">
      <c r="A19" s="3">
        <v>0.78690000000000004</v>
      </c>
      <c r="B19" s="4">
        <v>0.99855000000000005</v>
      </c>
    </row>
    <row r="20" spans="1:2">
      <c r="A20" s="3">
        <v>0.78700000000000003</v>
      </c>
      <c r="B20" s="4">
        <v>0.99865000000000004</v>
      </c>
    </row>
    <row r="21" spans="1:2">
      <c r="A21" s="3">
        <v>0.84109999999999996</v>
      </c>
      <c r="B21" s="4">
        <v>0.99865000000000004</v>
      </c>
    </row>
    <row r="22" spans="1:2">
      <c r="A22" s="3">
        <v>0.84119999999999995</v>
      </c>
      <c r="B22" s="4">
        <v>0.99875000000000003</v>
      </c>
    </row>
    <row r="23" spans="1:2">
      <c r="A23" s="3">
        <v>0.90339999999999998</v>
      </c>
      <c r="B23" s="4">
        <v>0.99875000000000003</v>
      </c>
    </row>
    <row r="24" spans="1:2">
      <c r="A24" s="3">
        <v>0.90349999999999997</v>
      </c>
      <c r="B24" s="4">
        <v>0.99885000000000002</v>
      </c>
    </row>
    <row r="25" spans="1:2">
      <c r="A25" s="3">
        <v>0.97560000000000002</v>
      </c>
      <c r="B25" s="4">
        <v>0.99885000000000002</v>
      </c>
    </row>
    <row r="26" spans="1:2">
      <c r="A26" s="3">
        <v>0.97570000000000001</v>
      </c>
      <c r="B26" s="4">
        <v>0.99895</v>
      </c>
    </row>
    <row r="27" spans="1:2">
      <c r="A27" s="3">
        <v>1.0604</v>
      </c>
      <c r="B27" s="4">
        <v>0.99895</v>
      </c>
    </row>
    <row r="28" spans="1:2">
      <c r="A28" s="3">
        <v>1.0605</v>
      </c>
      <c r="B28" s="4">
        <v>0.99904999999999999</v>
      </c>
    </row>
    <row r="29" spans="1:2">
      <c r="A29" s="3">
        <v>1.1000000000000001</v>
      </c>
      <c r="B29" s="4">
        <v>0.99904999999999999</v>
      </c>
    </row>
  </sheetData>
  <phoneticPr fontId="5" type="noConversion"/>
  <printOptions horizontalCentered="1"/>
  <pageMargins left="1.25" right="1.25" top="3" bottom="2.5" header="0.51180555555555562" footer="0.51180555555555562"/>
  <pageSetup paperSize="9" scale="97" firstPageNumber="0" fitToHeight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F20A342DCD3E45AC91427F11BE2A28" ma:contentTypeVersion="16" ma:contentTypeDescription="Crie um novo documento." ma:contentTypeScope="" ma:versionID="db2f546f2def7b43f2bb97dbe1dd7867">
  <xsd:schema xmlns:xsd="http://www.w3.org/2001/XMLSchema" xmlns:xs="http://www.w3.org/2001/XMLSchema" xmlns:p="http://schemas.microsoft.com/office/2006/metadata/properties" xmlns:ns2="c1dd5e72-82b3-41d8-965c-b6882ab15d7e" xmlns:ns3="df1438a5-8a6d-478e-bc03-96fe6c77e30c" targetNamespace="http://schemas.microsoft.com/office/2006/metadata/properties" ma:root="true" ma:fieldsID="5d5138daa163b6fe05061e7adeeeb070" ns2:_="" ns3:_="">
    <xsd:import namespace="c1dd5e72-82b3-41d8-965c-b6882ab15d7e"/>
    <xsd:import namespace="df1438a5-8a6d-478e-bc03-96fe6c77e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d5e72-82b3-41d8-965c-b6882ab15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438a5-8a6d-478e-bc03-96fe6c77e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c4c9f0-3190-4e91-a3b7-f0ae924aae9b}" ma:internalName="TaxCatchAll" ma:showField="CatchAllData" ma:web="df1438a5-8a6d-478e-bc03-96fe6c77e3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dd5e72-82b3-41d8-965c-b6882ab15d7e">
      <Terms xmlns="http://schemas.microsoft.com/office/infopath/2007/PartnerControls"/>
    </lcf76f155ced4ddcb4097134ff3c332f>
    <TaxCatchAll xmlns="df1438a5-8a6d-478e-bc03-96fe6c77e30c" xsi:nil="true"/>
    <SharedWithUsers xmlns="df1438a5-8a6d-478e-bc03-96fe6c77e30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BF2F6D-4899-4A76-B75C-AFDA65E3B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d5e72-82b3-41d8-965c-b6882ab15d7e"/>
    <ds:schemaRef ds:uri="df1438a5-8a6d-478e-bc03-96fe6c77e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18DBDF-976E-4975-B1D8-4710D50F9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34264-87BE-4A42-8BC5-89B1702892A6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c1dd5e72-82b3-41d8-965c-b6882ab15d7e"/>
    <ds:schemaRef ds:uri="df1438a5-8a6d-478e-bc03-96fe6c77e30c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Summary</vt:lpstr>
      <vt:lpstr>Time Log</vt:lpstr>
      <vt:lpstr>Qtt Sumary</vt:lpstr>
      <vt:lpstr>Sludge</vt:lpstr>
      <vt:lpstr>Vessel Ullage</vt:lpstr>
      <vt:lpstr>LOG Audit</vt:lpstr>
      <vt:lpstr>LNG</vt:lpstr>
      <vt:lpstr>VacuoAr</vt:lpstr>
      <vt:lpstr>LNG!Area_de_impressao</vt:lpstr>
      <vt:lpstr>'LOG Audit'!Area_de_impressao</vt:lpstr>
      <vt:lpstr>'Qtt Sumary'!Area_de_impressao</vt:lpstr>
      <vt:lpstr>Sludge!Area_de_impressao</vt:lpstr>
      <vt:lpstr>'Time Log'!Area_de_impressao</vt:lpstr>
      <vt:lpstr>'Vessel Ullage'!Area_de_impressao</vt:lpstr>
    </vt:vector>
  </TitlesOfParts>
  <Company>Intertek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Lloyds</dc:title>
  <dc:subject>Lloyds FOBAS/BQS</dc:subject>
  <dc:creator>José Augusto Pinto/Marcelo Padovani</dc:creator>
  <dc:description>versão 2.05 (2x)</dc:description>
  <cp:lastModifiedBy>Naabsa Surveyors - Eric Camargo</cp:lastModifiedBy>
  <cp:lastPrinted>2026-08-05T18:58:07Z</cp:lastPrinted>
  <dcterms:created xsi:type="dcterms:W3CDTF">2004-08-12T22:33:19Z</dcterms:created>
  <dcterms:modified xsi:type="dcterms:W3CDTF">2026-08-21T18:36:50Z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0x01010049F20A342DCD3E45AC91427F11BE2A28</vt:lpwstr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